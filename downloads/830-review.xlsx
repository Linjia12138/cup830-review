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dc8c87f1ea47ad" /></Relationships>
</file>

<file path=xl/workbook.xml><?xml version="1.0" encoding="utf-8"?>
<x:workbook xmlns:x="http://schemas.openxmlformats.org/spreadsheetml/2006/main">
  <x:sheets>
    <x:sheet xmlns:r="http://schemas.openxmlformats.org/officeDocument/2006/relationships" name="复习重点" sheetId="1" r:id="Ra3e499e712e44912"/>
    <x:sheet xmlns:r="http://schemas.openxmlformats.org/officeDocument/2006/relationships" name="年份考频" sheetId="2" r:id="R9a2d5bab5e5a47a2"/>
    <x:sheet xmlns:r="http://schemas.openxmlformats.org/officeDocument/2006/relationships" name="题目索引" sheetId="3" r:id="R96bb25c131464368"/>
    <x:sheet xmlns:r="http://schemas.openxmlformats.org/officeDocument/2006/relationships" name="资料口径" sheetId="4" r:id="R03102e6330ee4bc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Red]-0;&quot;·&quot;"/>
  </x:numFmts>
  <x:fonts count="5">
    <x:font>
      <x:sz val="11"/>
      <x:name val="Carlito"/>
    </x:font>
    <x:font>
      <x:sz val="10"/>
      <x:color rgb="FF172B3A"/>
      <x:name val="Arial"/>
    </x:font>
    <x:font>
      <x:b/>
      <x:sz val="16"/>
      <x:color rgb="FF172B3A"/>
      <x:name val="Arial"/>
    </x:font>
    <x:font>
      <x:b/>
      <x:sz val="10"/>
      <x:color rgb="FFFFFFFF"/>
      <x:name val="Arial"/>
    </x:font>
    <x:font>
      <x:sz val="10"/>
      <x:color rgb="FF5B6875"/>
      <x:name val="Arial"/>
    </x:font>
  </x:fonts>
  <x:fills count="3">
    <x:fill>
      <x:patternFill patternType="none"/>
    </x:fill>
    <x:fill>
      <x:patternFill patternType="gray125"/>
    </x:fill>
    <x:fill>
      <x:patternFill patternType="solid">
        <x:fgColor rgb="FF203C57"/>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4" fillId="0" borderId="0" xfId="0" applyNumberFormat="1" applyFont="1" applyFill="1" applyBorder="1" applyAlignment="1">
      <x:alignment vertical="center" wrapText="1"/>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0"/>
    </x:xf>
    <x:xf numFmtId="0" fontId="4" fillId="0" borderId="0" xfId="0" applyNumberFormat="1" applyFont="1" applyFill="1" applyBorder="1" applyAlignment="1">
      <x:alignment vertical="center"/>
    </x:xf>
  </x:cellXfs>
  <x:cellStyles count="1">
    <x:cellStyle name="Normal" xfId="0"/>
  </x:cellStyles>
  <x:dxfs count="3">
    <x:dxf>
      <x:font>
        <x:b/>
        <x:color rgb="FF172B3A"/>
      </x:font>
      <x:fill>
        <x:patternFill patternType="solid">
          <x:bgColor rgb="FFD5E7EC"/>
        </x:patternFill>
      </x:fill>
    </x:dxf>
    <x:dxf>
      <x:font>
        <x:b/>
        <x:color rgb="FF117786"/>
      </x:font>
      <x:fill>
        <x:patternFill patternType="solid">
          <x:bgColor rgb="FFDCECEF"/>
        </x:patternFill>
      </x:fill>
    </x:dxf>
    <x:dxf>
      <x:font>
        <x:color rgb="FF86621B"/>
      </x:font>
      <x:fill>
        <x:patternFill patternType="solid">
          <x:bgColor rgb="FFF5ED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41818935cb4c92" /><Relationship Type="http://schemas.openxmlformats.org/officeDocument/2006/relationships/theme" Target="/xl/theme/theme1.xml" Id="R675771df3c714521" /><Relationship Type="http://schemas.openxmlformats.org/officeDocument/2006/relationships/sharedStrings" Target="/xl/sharedStrings.xml" Id="Rb1abe67c09bd43a6" /><Relationship Type="http://schemas.openxmlformats.org/officeDocument/2006/relationships/worksheet" Target="/xl/worksheets/sheet1.xml" Id="Ra3e499e712e44912" /><Relationship Type="http://schemas.openxmlformats.org/officeDocument/2006/relationships/worksheet" Target="/xl/worksheets/sheet2.xml" Id="R9a2d5bab5e5a47a2" /><Relationship Type="http://schemas.openxmlformats.org/officeDocument/2006/relationships/worksheet" Target="/xl/worksheets/sheet3.xml" Id="R96bb25c131464368" /><Relationship Type="http://schemas.openxmlformats.org/officeDocument/2006/relationships/worksheet" Target="/xl/worksheets/sheet4.xml" Id="R03102e6330ee4bc1" /></Relationships>
</file>

<file path=xl/tables/table1.xml><?xml version="1.0" encoding="utf-8"?>
<x:table xmlns:x="http://schemas.openxmlformats.org/spreadsheetml/2006/main" id="1" name="QuestionIndex" displayName="QuestionIndex" ref="A5:K378" headerRowCount="1" totalsRowCount="0" totalsRowShown="0">
  <x:autoFilter ref="A5:K378"/>
  <x:tableColumns count="11">
    <x:tableColumn id="1" name="年份"/>
    <x:tableColumn id="2" name="原题定位"/>
    <x:tableColumn id="3" name="题型"/>
    <x:tableColumn id="4" name="可见分值"/>
    <x:tableColumn id="5" name="主考点"/>
    <x:tableColumn id="6" name="关联知识点代码"/>
    <x:tableColumn id="7" name="题干摘录"/>
    <x:tableColumn id="8" name="来源编号"/>
    <x:tableColumn id="9" name="PDF页码"/>
    <x:tableColumn id="10" name="资料性质"/>
    <x:tableColumn id="11" name="核对提示"/>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5bae4874f5ce4777" /></Relationships>
</file>

<file path=xl/worksheets/sheet1.xml><?xml version="1.0" encoding="utf-8"?>
<x:worksheet xmlns:x="http://schemas.openxmlformats.org/spreadsheetml/2006/main">
  <x:sheetPr>
    <x:tabColor rgb="FF203C57"/>
  </x:sheetPr>
  <x:sheetViews>
    <x:sheetView showGridLines="0" workbookViewId="0">
      <x:pane xSplit="2" ySplit="6" topLeftCell="C7" activePane="bottomRight" state="frozen"/>
    </x:sheetView>
  </x:sheetViews>
  <x:sheetFormatPr defaultRowHeight="15"/>
  <x:cols>
    <x:col min="1" max="1" width="6.880000114440918" hidden="0" customWidth="1"/>
    <x:col min="2" max="2" width="33.75" hidden="0" customWidth="1"/>
    <x:col min="3" max="3" width="16.25" hidden="0" customWidth="1"/>
    <x:col min="4" max="4" width="11.25" hidden="0" customWidth="1"/>
    <x:col min="5" max="5" width="11.25" hidden="0" customWidth="1"/>
    <x:col min="6" max="6" width="11.25" hidden="0" customWidth="1"/>
    <x:col min="7" max="7" width="11.25" hidden="0" customWidth="1"/>
    <x:col min="8" max="8" width="50.630001068115234" hidden="0" customWidth="1"/>
    <x:col min="9" max="9" width="37.5" hidden="0" customWidth="1"/>
  </x:cols>
  <x:sheetData>
    <x:row r="1" ht="23" customHeight="1">
      <x:c r="A1" s="2"/>
      <x:c r="B1" s="2"/>
      <x:c r="C1" s="2"/>
      <x:c r="D1" s="2"/>
      <x:c r="E1" s="2"/>
      <x:c r="F1" s="2"/>
      <x:c r="G1" s="2"/>
      <x:c r="H1" s="2"/>
      <x:c r="I1" s="2"/>
    </x:row>
    <x:row r="2" ht="28" customHeight="1">
      <x:c r="A2" s="3" t="str">
        <x:v>830 化工原理：复习重点</x:v>
      </x:c>
      <x:c r="B2" s="2"/>
      <x:c r="C2" s="2"/>
      <x:c r="D2" s="2"/>
      <x:c r="E2" s="2"/>
      <x:c r="F2" s="2"/>
      <x:c r="G2" s="2"/>
      <x:c r="H2" s="2"/>
      <x:c r="I2" s="2"/>
    </x:row>
    <x:row r="3" ht="23" customHeight="1">
      <x:c r="A3" s="37" t="str">
        <x:v>2026年12月备考。现有17个年份、373道题；最近五年2021—2025，120道题，其中24道计算题。</x:v>
      </x:c>
      <x:c r="B3" s="2"/>
      <x:c r="C3" s="2"/>
      <x:c r="D3" s="2"/>
      <x:c r="E3" s="2"/>
      <x:c r="F3" s="2"/>
      <x:c r="G3" s="2"/>
      <x:c r="H3" s="2"/>
      <x:c r="I3" s="2"/>
    </x:row>
    <x:row r="4" ht="23" customHeight="1">
      <x:c r="A4" s="37" t="str">
        <x:v>A为反复出现的计算环节；B侧重概念和简答；C补全现行大纲。出现年数为历史覆盖，不能当作下一次命题概率。</x:v>
      </x:c>
      <x:c r="B4" s="2"/>
      <x:c r="C4" s="2"/>
      <x:c r="D4" s="2"/>
      <x:c r="E4" s="2"/>
      <x:c r="F4" s="2"/>
      <x:c r="G4" s="2"/>
      <x:c r="H4" s="2"/>
      <x:c r="I4" s="2"/>
    </x:row>
    <x:row r="5" ht="23" customHeight="1">
      <x:c r="A5" s="37" t="str">
        <x:v>计算主线：管路与泵、换热器、精馏、吸收均为近5年计算5/5；过滤为4/5。汽蚀和塔设备也需准备简答。</x:v>
      </x:c>
      <x:c r="B5" s="2"/>
      <x:c r="C5" s="2"/>
      <x:c r="D5" s="2"/>
      <x:c r="E5" s="2"/>
      <x:c r="F5" s="2"/>
      <x:c r="G5" s="2"/>
      <x:c r="H5" s="2"/>
      <x:c r="I5" s="2"/>
    </x:row>
    <x:row r="6" ht="32" customHeight="1">
      <x:c r="A6" s="12" t="str">
        <x:v>代码</x:v>
      </x:c>
      <x:c r="B6" s="13" t="str">
        <x:v>知识点</x:v>
      </x:c>
      <x:c r="C6" s="13" t="str">
        <x:v>复习层次</x:v>
      </x:c>
      <x:c r="D6" s="13" t="str">
        <x:v>近5年
出现年数/5</x:v>
      </x:c>
      <x:c r="E6" s="13" t="str">
        <x:v>近5年
计算年数/5</x:v>
      </x:c>
      <x:c r="F6" s="13" t="str">
        <x:v>全期
出现年数/17</x:v>
      </x:c>
      <x:c r="G6" s="13" t="str">
        <x:v>近5年
覆盖题数</x:v>
      </x:c>
      <x:c r="H6" s="13" t="str">
        <x:v>大纲位置与掌握目标</x:v>
      </x:c>
      <x:c r="I6" s="14" t="str">
        <x:v>近期定位示例</x:v>
      </x:c>
    </x:row>
    <x:row r="7" ht="53" customHeight="1">
      <x:c r="A7" s="2" t="str">
        <x:v>F1</x:v>
      </x:c>
      <x:c r="B7" s="15" t="str">
        <x:v>静力学、压力与U形压差计</x:v>
      </x:c>
      <x:c r="C7" s="15" t="str">
        <x:v>B·概念与简答</x:v>
      </x:c>
      <x:c r="D7" s="18" t="n">
        <x:f>COUNTIF('年份考频'!O7:S7,"&gt;0")</x:f>
        <x:v>2</x:v>
      </x:c>
      <x:c r="E7" s="18" t="n">
        <x:f>COUNTIF('年份考频'!T7:X7,"&gt;0")</x:f>
        <x:v>1</x:v>
      </x:c>
      <x:c r="F7" s="18" t="n">
        <x:f>COUNTIF('年份考频'!C7:S7,"&gt;0")</x:f>
        <x:v>13</x:v>
      </x:c>
      <x:c r="G7" s="18" t="n">
        <x:f>SUM('年份考频'!O7:S7)</x:f>
        <x:v>2</x:v>
      </x:c>
      <x:c r="H7" s="21" t="str">
        <x:v>第一章1。压力基准、等压面、U形管读数与压差</x:v>
      </x:c>
      <x:c r="I7" s="21" t="str">
        <x:v>2022年 二、简答第1题</x:v>
      </x:c>
    </x:row>
    <x:row r="8" ht="53" customHeight="1">
      <x:c r="A8" s="2" t="str">
        <x:v>F2</x:v>
      </x:c>
      <x:c r="B8" s="15" t="str">
        <x:v>连续性、伯努利与管路计算</x:v>
      </x:c>
      <x:c r="C8" s="15" t="str">
        <x:v>A·计算主线</x:v>
      </x:c>
      <x:c r="D8" s="18" t="n">
        <x:f>COUNTIF('年份考频'!O8:S8,"&gt;0")</x:f>
        <x:v>5</x:v>
      </x:c>
      <x:c r="E8" s="18" t="n">
        <x:f>COUNTIF('年份考频'!T8:X8,"&gt;0")</x:f>
        <x:v>5</x:v>
      </x:c>
      <x:c r="F8" s="18" t="n">
        <x:f>COUNTIF('年份考频'!C8:S8,"&gt;0")</x:f>
        <x:v>17</x:v>
      </x:c>
      <x:c r="G8" s="18" t="n">
        <x:f>SUM('年份考频'!O8:S8)</x:f>
        <x:v>9</x:v>
      </x:c>
      <x:c r="H8" s="21" t="str">
        <x:v>第一章2、4。选截面与基准；串并联、阀门及功率联立计算</x:v>
      </x:c>
      <x:c r="I8" s="21" t="str">
        <x:v>2025年 四、计算</x:v>
      </x:c>
    </x:row>
    <x:row r="9" ht="53" customHeight="1">
      <x:c r="A9" s="2" t="str">
        <x:v>F3</x:v>
      </x:c>
      <x:c r="B9" s="15" t="str">
        <x:v>黏性、Re、流型与管路阻力</x:v>
      </x:c>
      <x:c r="C9" s="15" t="str">
        <x:v>A·计算主线</x:v>
      </x:c>
      <x:c r="D9" s="18" t="n">
        <x:f>COUNTIF('年份考频'!O9:S9,"&gt;0")</x:f>
        <x:v>5</x:v>
      </x:c>
      <x:c r="E9" s="18" t="n">
        <x:f>COUNTIF('年份考频'!T9:X9,"&gt;0")</x:f>
        <x:v>5</x:v>
      </x:c>
      <x:c r="F9" s="18" t="n">
        <x:f>COUNTIF('年份考频'!C9:S9,"&gt;0")</x:f>
        <x:v>17</x:v>
      </x:c>
      <x:c r="G9" s="18" t="n">
        <x:f>SUM('年份考频'!O9:S9)</x:f>
        <x:v>12</x:v>
      </x:c>
      <x:c r="H9" s="21" t="str">
        <x:v>第一章3。层流速度分布；摩擦系数、管径与流量变化</x:v>
      </x:c>
      <x:c r="I9" s="21" t="str">
        <x:v>2025年 四、计算</x:v>
      </x:c>
    </x:row>
    <x:row r="10" ht="53" customHeight="1">
      <x:c r="A10" s="2" t="str">
        <x:v>F4</x:v>
      </x:c>
      <x:c r="B10" s="15" t="str">
        <x:v>边界层与因次分析</x:v>
      </x:c>
      <x:c r="C10" s="15" t="str">
        <x:v>C·大纲补全</x:v>
      </x:c>
      <x:c r="D10" s="18" t="n">
        <x:f>COUNTIF('年份考频'!O10:S10,"&gt;0")</x:f>
        <x:v>1</x:v>
      </x:c>
      <x:c r="E10" s="18" t="n">
        <x:f>COUNTIF('年份考频'!T10:X10,"&gt;0")</x:f>
        <x:v>0</x:v>
      </x:c>
      <x:c r="F10" s="18" t="n">
        <x:f>COUNTIF('年份考频'!C10:S10,"&gt;0")</x:f>
        <x:v>4</x:v>
      </x:c>
      <x:c r="G10" s="18" t="n">
        <x:f>SUM('年份考频'!O10:S10)</x:f>
        <x:v>1</x:v>
      </x:c>
      <x:c r="H10" s="21" t="str">
        <x:v>第一章3。边界层分离、层流底层、量纲一致与相似准数</x:v>
      </x:c>
      <x:c r="I10" s="21" t="str">
        <x:v>2022年 一、填空第2题</x:v>
      </x:c>
    </x:row>
    <x:row r="11" ht="53" customHeight="1">
      <x:c r="A11" s="2" t="str">
        <x:v>F5</x:v>
      </x:c>
      <x:c r="B11" s="15" t="str">
        <x:v>测速管、孔板与转子流量计</x:v>
      </x:c>
      <x:c r="C11" s="15" t="str">
        <x:v>B·概念与简答</x:v>
      </x:c>
      <x:c r="D11" s="18" t="n">
        <x:f>COUNTIF('年份考频'!O11:S11,"&gt;0")</x:f>
        <x:v>2</x:v>
      </x:c>
      <x:c r="E11" s="18" t="n">
        <x:f>COUNTIF('年份考频'!T11:X11,"&gt;0")</x:f>
        <x:v>0</x:v>
      </x:c>
      <x:c r="F11" s="18" t="n">
        <x:f>COUNTIF('年份考频'!C11:S11,"&gt;0")</x:f>
        <x:v>7</x:v>
      </x:c>
      <x:c r="G11" s="18" t="n">
        <x:f>SUM('年份考频'!O11:S11)</x:f>
        <x:v>2</x:v>
      </x:c>
      <x:c r="H11" s="21" t="str">
        <x:v>第一章5。变压头与变截面；点速度、压差及流量修正</x:v>
      </x:c>
      <x:c r="I11" s="21" t="str">
        <x:v>2022年 二、简答第1题</x:v>
      </x:c>
    </x:row>
    <x:row r="12" ht="53" customHeight="1">
      <x:c r="A12" s="2" t="str">
        <x:v>P1</x:v>
      </x:c>
      <x:c r="B12" s="15" t="str">
        <x:v>泵特性、工作点、调节与功率</x:v>
      </x:c>
      <x:c r="C12" s="15" t="str">
        <x:v>A·计算主线</x:v>
      </x:c>
      <x:c r="D12" s="18" t="n">
        <x:f>COUNTIF('年份考频'!O12:S12,"&gt;0")</x:f>
        <x:v>5</x:v>
      </x:c>
      <x:c r="E12" s="18" t="n">
        <x:f>COUNTIF('年份考频'!T12:X12,"&gt;0")</x:f>
        <x:v>5</x:v>
      </x:c>
      <x:c r="F12" s="18" t="n">
        <x:f>COUNTIF('年份考频'!C12:S12,"&gt;0")</x:f>
        <x:v>17</x:v>
      </x:c>
      <x:c r="G12" s="18" t="n">
        <x:f>SUM('年份考频'!O12:S12)</x:f>
        <x:v>11</x:v>
      </x:c>
      <x:c r="H12" s="21" t="str">
        <x:v>第二章。泵曲线与管路曲线交点；阀门、变速及串并联</x:v>
      </x:c>
      <x:c r="I12" s="21" t="str">
        <x:v>2021年 二、简答第3题</x:v>
      </x:c>
    </x:row>
    <x:row r="13" ht="53" customHeight="1">
      <x:c r="A13" s="2" t="str">
        <x:v>P2</x:v>
      </x:c>
      <x:c r="B13" s="15" t="str">
        <x:v>汽蚀、气缚、安装与开停</x:v>
      </x:c>
      <x:c r="C13" s="15" t="str">
        <x:v>B·概念与简答</x:v>
      </x:c>
      <x:c r="D13" s="18" t="n">
        <x:f>COUNTIF('年份考频'!O13:S13,"&gt;0")</x:f>
        <x:v>5</x:v>
      </x:c>
      <x:c r="E13" s="18" t="n">
        <x:f>COUNTIF('年份考频'!T13:X13,"&gt;0")</x:f>
        <x:v>1</x:v>
      </x:c>
      <x:c r="F13" s="18" t="n">
        <x:f>COUNTIF('年份考频'!C13:S13,"&gt;0")</x:f>
        <x:v>11</x:v>
      </x:c>
      <x:c r="G13" s="18" t="n">
        <x:f>SUM('年份考频'!O13:S13)</x:f>
        <x:v>6</x:v>
      </x:c>
      <x:c r="H13" s="21" t="str">
        <x:v>第二章。汽蚀余量、安装高度及异常原因与处理</x:v>
      </x:c>
      <x:c r="I13" s="21" t="str">
        <x:v>2025年 三、简答第2题</x:v>
      </x:c>
    </x:row>
    <x:row r="14" ht="53" customHeight="1">
      <x:c r="A14" s="2" t="str">
        <x:v>S1</x:v>
      </x:c>
      <x:c r="B14" s="15" t="str">
        <x:v>颗粒粒径、沉降与降尘室</x:v>
      </x:c>
      <x:c r="C14" s="15" t="str">
        <x:v>B·概念与简答</x:v>
      </x:c>
      <x:c r="D14" s="18" t="n">
        <x:f>COUNTIF('年份考频'!O14:S14,"&gt;0")</x:f>
        <x:v>3</x:v>
      </x:c>
      <x:c r="E14" s="18" t="n">
        <x:f>COUNTIF('年份考频'!T14:X14,"&gt;0")</x:f>
        <x:v>0</x:v>
      </x:c>
      <x:c r="F14" s="18" t="n">
        <x:f>COUNTIF('年份考频'!C14:S14,"&gt;0")</x:f>
        <x:v>12</x:v>
      </x:c>
      <x:c r="G14" s="18" t="n">
        <x:f>SUM('年份考频'!O14:S14)</x:f>
        <x:v>4</x:v>
      </x:c>
      <x:c r="H14" s="21" t="str">
        <x:v>第三章1。当量直径与颗粒描述；斯托克斯适用区、分离条件及降尘室能力</x:v>
      </x:c>
      <x:c r="I14" s="21" t="str">
        <x:v>2022年 二、简答第2题</x:v>
      </x:c>
    </x:row>
    <x:row r="15" ht="53" customHeight="1">
      <x:c r="A15" s="2" t="str">
        <x:v>S2</x:v>
      </x:c>
      <x:c r="B15" s="15" t="str">
        <x:v>旋风分离器与离心分离</x:v>
      </x:c>
      <x:c r="C15" s="15" t="str">
        <x:v>B·概念与简答</x:v>
      </x:c>
      <x:c r="D15" s="18" t="n">
        <x:f>COUNTIF('年份考频'!O15:S15,"&gt;0")</x:f>
        <x:v>2</x:v>
      </x:c>
      <x:c r="E15" s="18" t="n">
        <x:f>COUNTIF('年份考频'!T15:X15,"&gt;0")</x:f>
        <x:v>0</x:v>
      </x:c>
      <x:c r="F15" s="18" t="n">
        <x:f>COUNTIF('年份考频'!C15:S15,"&gt;0")</x:f>
        <x:v>6</x:v>
      </x:c>
      <x:c r="G15" s="18" t="n">
        <x:f>SUM('年份考频'!O15:S15)</x:f>
        <x:v>3</x:v>
      </x:c>
      <x:c r="H15" s="21" t="str">
        <x:v>第三章1、3。临界粒径、分离因数及结构温度流量影响</x:v>
      </x:c>
      <x:c r="I15" s="21" t="str">
        <x:v>2025年 一、选择第4题</x:v>
      </x:c>
    </x:row>
    <x:row r="16" ht="53" customHeight="1">
      <x:c r="A16" s="2" t="str">
        <x:v>S3</x:v>
      </x:c>
      <x:c r="B16" s="15" t="str">
        <x:v>过滤方程与过滤常数</x:v>
      </x:c>
      <x:c r="C16" s="15" t="str">
        <x:v>A·计算主线</x:v>
      </x:c>
      <x:c r="D16" s="18" t="n">
        <x:f>COUNTIF('年份考频'!O16:S16,"&gt;0")</x:f>
        <x:v>5</x:v>
      </x:c>
      <x:c r="E16" s="18" t="n">
        <x:f>COUNTIF('年份考频'!T16:X16,"&gt;0")</x:f>
        <x:v>4</x:v>
      </x:c>
      <x:c r="F16" s="18" t="n">
        <x:f>COUNTIF('年份考频'!C16:S16,"&gt;0")</x:f>
        <x:v>17</x:v>
      </x:c>
      <x:c r="G16" s="18" t="n">
        <x:f>SUM('年份考频'!O16:S16)</x:f>
        <x:v>7</x:v>
      </x:c>
      <x:c r="H16" s="21" t="str">
        <x:v>第三章2。恒压 / 恒速、介质阻力、可压缩滤饼、试验求常数</x:v>
      </x:c>
      <x:c r="I16" s="21" t="str">
        <x:v>2023年 二、简答第3题</x:v>
      </x:c>
    </x:row>
    <x:row r="17" ht="53" customHeight="1">
      <x:c r="A17" s="2" t="str">
        <x:v>S4</x:v>
      </x:c>
      <x:c r="B17" s="15" t="str">
        <x:v>洗涤、板框 / 转筒与生产能力</x:v>
      </x:c>
      <x:c r="C17" s="15" t="str">
        <x:v>A·计算主线</x:v>
      </x:c>
      <x:c r="D17" s="18" t="n">
        <x:f>COUNTIF('年份考频'!O17:S17,"&gt;0")</x:f>
        <x:v>5</x:v>
      </x:c>
      <x:c r="E17" s="18" t="n">
        <x:f>COUNTIF('年份考频'!T17:X17,"&gt;0")</x:f>
        <x:v>4</x:v>
      </x:c>
      <x:c r="F17" s="18" t="n">
        <x:f>COUNTIF('年份考频'!C17:S17,"&gt;0")</x:f>
        <x:v>16</x:v>
      </x:c>
      <x:c r="G17" s="18" t="n">
        <x:f>SUM('年份考频'!O17:S17)</x:f>
        <x:v>5</x:v>
      </x:c>
      <x:c r="H17" s="21" t="str">
        <x:v>第三章2。过滤与洗涤面积路径；循环时间、最大生产能力</x:v>
      </x:c>
      <x:c r="I17" s="21" t="str">
        <x:v>2025年 五、计算</x:v>
      </x:c>
    </x:row>
    <x:row r="18" ht="53" customHeight="1">
      <x:c r="A18" s="2" t="str">
        <x:v>B1</x:v>
      </x:c>
      <x:c r="B18" s="15" t="str">
        <x:v>床层压降、流化状态与异常</x:v>
      </x:c>
      <x:c r="C18" s="15" t="str">
        <x:v>C·大纲补全</x:v>
      </x:c>
      <x:c r="D18" s="18" t="n">
        <x:f>COUNTIF('年份考频'!O18:S18,"&gt;0")</x:f>
        <x:v>0</x:v>
      </x:c>
      <x:c r="E18" s="18" t="n">
        <x:f>COUNTIF('年份考频'!T18:X18,"&gt;0")</x:f>
        <x:v>0</x:v>
      </x:c>
      <x:c r="F18" s="18" t="n">
        <x:f>COUNTIF('年份考频'!C18:S18,"&gt;0")</x:f>
        <x:v>11</x:v>
      </x:c>
      <x:c r="G18" s="18" t="n">
        <x:f>SUM('年份考频'!O18:S18)</x:f>
        <x:v>0</x:v>
      </x:c>
      <x:c r="H18" s="21" t="str">
        <x:v>第四章。固定床 / 流化 / 输送；起始速度、沟流与腾涌</x:v>
      </x:c>
      <x:c r="I18" s="21" t="str">
        <x:v>近期未见，保留大纲要求</x:v>
      </x:c>
    </x:row>
    <x:row r="19" ht="53" customHeight="1">
      <x:c r="A19" s="2" t="str">
        <x:v>H1</x:v>
      </x:c>
      <x:c r="B19" s="15" t="str">
        <x:v>导热、保温与临界直径</x:v>
      </x:c>
      <x:c r="C19" s="15" t="str">
        <x:v>B·概念与简答</x:v>
      </x:c>
      <x:c r="D19" s="18" t="n">
        <x:f>COUNTIF('年份考频'!O19:S19,"&gt;0")</x:f>
        <x:v>3</x:v>
      </x:c>
      <x:c r="E19" s="18" t="n">
        <x:f>COUNTIF('年份考频'!T19:X19,"&gt;0")</x:f>
        <x:v>0</x:v>
      </x:c>
      <x:c r="F19" s="18" t="n">
        <x:f>COUNTIF('年份考频'!C19:S19,"&gt;0")</x:f>
        <x:v>9</x:v>
      </x:c>
      <x:c r="G19" s="18" t="n">
        <x:f>SUM('年份考频'!O19:S19)</x:f>
        <x:v>5</x:v>
      </x:c>
      <x:c r="H19" s="21" t="str">
        <x:v>第五章1。平壁与圆筒热阻；热通量、材料与保温层次序</x:v>
      </x:c>
      <x:c r="I19" s="21" t="str">
        <x:v>2023年 二、简答第2题</x:v>
      </x:c>
    </x:row>
    <x:row r="20" ht="53" customHeight="1">
      <x:c r="A20" s="2" t="str">
        <x:v>H2</x:v>
      </x:c>
      <x:c r="B20" s="15" t="str">
        <x:v>对流传热、准数与膜系数</x:v>
      </x:c>
      <x:c r="C20" s="15" t="str">
        <x:v>A·计算主线</x:v>
      </x:c>
      <x:c r="D20" s="18" t="n">
        <x:f>COUNTIF('年份考频'!O20:S20,"&gt;0")</x:f>
        <x:v>5</x:v>
      </x:c>
      <x:c r="E20" s="18" t="n">
        <x:f>COUNTIF('年份考频'!T20:X20,"&gt;0")</x:f>
        <x:v>4</x:v>
      </x:c>
      <x:c r="F20" s="18" t="n">
        <x:f>COUNTIF('年份考频'!C20:S20,"&gt;0")</x:f>
        <x:v>16</x:v>
      </x:c>
      <x:c r="G20" s="18" t="n">
        <x:f>SUM('年份考频'!O20:S20)</x:f>
        <x:v>10</x:v>
      </x:c>
      <x:c r="H20" s="21" t="str">
        <x:v>第五章2。Nu / Re / Pr；流量、管径、流态对膜系数的影响</x:v>
      </x:c>
      <x:c r="I20" s="21" t="str">
        <x:v>2024年 三、简答第1题</x:v>
      </x:c>
    </x:row>
    <x:row r="21" ht="53" customHeight="1">
      <x:c r="A21" s="2" t="str">
        <x:v>H3</x:v>
      </x:c>
      <x:c r="B21" s="15" t="str">
        <x:v>总传热系数、热阻与壁温</x:v>
      </x:c>
      <x:c r="C21" s="15" t="str">
        <x:v>A·计算主线</x:v>
      </x:c>
      <x:c r="D21" s="18" t="n">
        <x:f>COUNTIF('年份考频'!O21:S21,"&gt;0")</x:f>
        <x:v>5</x:v>
      </x:c>
      <x:c r="E21" s="18" t="n">
        <x:f>COUNTIF('年份考频'!T21:X21,"&gt;0")</x:f>
        <x:v>5</x:v>
      </x:c>
      <x:c r="F21" s="18" t="n">
        <x:f>COUNTIF('年份考频'!C21:S21,"&gt;0")</x:f>
        <x:v>16</x:v>
      </x:c>
      <x:c r="G21" s="18" t="n">
        <x:f>SUM('年份考频'!O21:S21)</x:f>
        <x:v>9</x:v>
      </x:c>
      <x:c r="H21" s="21" t="str">
        <x:v>第五章1、4。面积基准、污垢串联热阻、控制热阻与壁温</x:v>
      </x:c>
      <x:c r="I21" s="21" t="str">
        <x:v>2024年 三、简答第1题</x:v>
      </x:c>
    </x:row>
    <x:row r="22" ht="53" customHeight="1">
      <x:c r="A22" s="2" t="str">
        <x:v>H4</x:v>
      </x:c>
      <x:c r="B22" s="15" t="str">
        <x:v>换热器设计、校核与操作计算</x:v>
      </x:c>
      <x:c r="C22" s="15" t="str">
        <x:v>A·计算主线</x:v>
      </x:c>
      <x:c r="D22" s="18" t="n">
        <x:f>COUNTIF('年份考频'!O22:S22,"&gt;0")</x:f>
        <x:v>5</x:v>
      </x:c>
      <x:c r="E22" s="18" t="n">
        <x:f>COUNTIF('年份考频'!T22:X22,"&gt;0")</x:f>
        <x:v>5</x:v>
      </x:c>
      <x:c r="F22" s="18" t="n">
        <x:f>COUNTIF('年份考频'!C22:S22,"&gt;0")</x:f>
        <x:v>17</x:v>
      </x:c>
      <x:c r="G22" s="18" t="n">
        <x:f>SUM('年份考频'!O22:S22)</x:f>
        <x:v>10</x:v>
      </x:c>
      <x:c r="H22" s="21" t="str">
        <x:v>第五章4、第六章2。热衡算、对数平均温差、面积 / 管长与出口温度</x:v>
      </x:c>
      <x:c r="I22" s="21" t="str">
        <x:v>2025年 八、计算</x:v>
      </x:c>
    </x:row>
    <x:row r="23" ht="53" customHeight="1">
      <x:c r="A23" s="2" t="str">
        <x:v>H5</x:v>
      </x:c>
      <x:c r="B23" s="15" t="str">
        <x:v>流程选择、设备结构与强化</x:v>
      </x:c>
      <x:c r="C23" s="15" t="str">
        <x:v>B·概念与简答</x:v>
      </x:c>
      <x:c r="D23" s="18" t="n">
        <x:f>COUNTIF('年份考频'!O23:S23,"&gt;0")</x:f>
        <x:v>3</x:v>
      </x:c>
      <x:c r="E23" s="18" t="n">
        <x:f>COUNTIF('年份考频'!T23:X23,"&gt;0")</x:f>
        <x:v>1</x:v>
      </x:c>
      <x:c r="F23" s="18" t="n">
        <x:f>COUNTIF('年份考频'!C23:S23,"&gt;0")</x:f>
        <x:v>12</x:v>
      </x:c>
      <x:c r="G23" s="18" t="n">
        <x:f>SUM('年份考频'!O23:S23)</x:f>
        <x:v>4</x:v>
      </x:c>
      <x:c r="H23" s="21" t="str">
        <x:v>第六章1、3。管壳程选择、折流板 / 隔板、串并联与强化控制侧</x:v>
      </x:c>
      <x:c r="I23" s="21" t="str">
        <x:v>2024年 三、简答第1题</x:v>
      </x:c>
    </x:row>
    <x:row r="24" ht="53" customHeight="1">
      <x:c r="A24" s="2" t="str">
        <x:v>H6</x:v>
      </x:c>
      <x:c r="B24" s="15" t="str">
        <x:v>沸腾与冷凝传热</x:v>
      </x:c>
      <x:c r="C24" s="15" t="str">
        <x:v>B·概念与简答</x:v>
      </x:c>
      <x:c r="D24" s="18" t="n">
        <x:f>COUNTIF('年份考频'!O24:S24,"&gt;0")</x:f>
        <x:v>2</x:v>
      </x:c>
      <x:c r="E24" s="18" t="n">
        <x:f>COUNTIF('年份考频'!T24:X24,"&gt;0")</x:f>
        <x:v>0</x:v>
      </x:c>
      <x:c r="F24" s="18" t="n">
        <x:f>COUNTIF('年份考频'!C24:S24,"&gt;0")</x:f>
        <x:v>7</x:v>
      </x:c>
      <x:c r="G24" s="18" t="n">
        <x:f>SUM('年份考频'!O24:S24)</x:f>
        <x:v>2</x:v>
      </x:c>
      <x:c r="H24" s="21" t="str">
        <x:v>第五章3。膜状 / 滴状冷凝、沸腾曲线、温差与不凝气影响</x:v>
      </x:c>
      <x:c r="I24" s="21" t="str">
        <x:v>2025年 一、选择第1题</x:v>
      </x:c>
    </x:row>
    <x:row r="25" ht="53" customHeight="1">
      <x:c r="A25" s="2" t="str">
        <x:v>M1</x:v>
      </x:c>
      <x:c r="B25" s="15" t="str">
        <x:v>分子扩散、费克定律与总体流动</x:v>
      </x:c>
      <x:c r="C25" s="15" t="str">
        <x:v>B·概念与简答</x:v>
      </x:c>
      <x:c r="D25" s="18" t="n">
        <x:f>COUNTIF('年份考频'!O25:S25,"&gt;0")</x:f>
        <x:v>3</x:v>
      </x:c>
      <x:c r="E25" s="18" t="n">
        <x:f>COUNTIF('年份考频'!T25:X25,"&gt;0")</x:f>
        <x:v>0</x:v>
      </x:c>
      <x:c r="F25" s="18" t="n">
        <x:f>COUNTIF('年份考频'!C25:S25,"&gt;0")</x:f>
        <x:v>9</x:v>
      </x:c>
      <x:c r="G25" s="18" t="n">
        <x:f>SUM('年份考频'!O25:S25)</x:f>
        <x:v>4</x:v>
      </x:c>
      <x:c r="H25" s="21" t="str">
        <x:v>第八章。等摩尔反向 / 单向扩散、漂流因子及扩散系数</x:v>
      </x:c>
      <x:c r="I25" s="21" t="str">
        <x:v>2025年 二、填空第3题</x:v>
      </x:c>
    </x:row>
    <x:row r="26" ht="53" customHeight="1">
      <x:c r="A26" s="2" t="str">
        <x:v>D1</x:v>
      </x:c>
      <x:c r="B26" s="15" t="str">
        <x:v>相平衡、相对挥发度与闪蒸</x:v>
      </x:c>
      <x:c r="C26" s="15" t="str">
        <x:v>A·计算主线</x:v>
      </x:c>
      <x:c r="D26" s="18" t="n">
        <x:f>COUNTIF('年份考频'!O26:S26,"&gt;0")</x:f>
        <x:v>5</x:v>
      </x:c>
      <x:c r="E26" s="18" t="n">
        <x:f>COUNTIF('年份考频'!T26:X26,"&gt;0")</x:f>
        <x:v>5</x:v>
      </x:c>
      <x:c r="F26" s="18" t="n">
        <x:f>COUNTIF('年份考频'!C26:S26,"&gt;0")</x:f>
        <x:v>14</x:v>
      </x:c>
      <x:c r="G26" s="18" t="n">
        <x:f>SUM('年份考频'!O26:S26)</x:f>
        <x:v>7</x:v>
      </x:c>
      <x:c r="H26" s="21" t="str">
        <x:v>第九章1、2。拉乌尔定律、泡露点、t-x-y / y-x图与闪蒸</x:v>
      </x:c>
      <x:c r="I26" s="21" t="str">
        <x:v>2025年 七、计算</x:v>
      </x:c>
    </x:row>
    <x:row r="27" ht="53" customHeight="1">
      <x:c r="A27" s="2" t="str">
        <x:v>D2</x:v>
      </x:c>
      <x:c r="B27" s="15" t="str">
        <x:v>精馏衡算、操作线与进料热状态</x:v>
      </x:c>
      <x:c r="C27" s="15" t="str">
        <x:v>A·计算主线</x:v>
      </x:c>
      <x:c r="D27" s="18" t="n">
        <x:f>COUNTIF('年份考频'!O27:S27,"&gt;0")</x:f>
        <x:v>5</x:v>
      </x:c>
      <x:c r="E27" s="18" t="n">
        <x:f>COUNTIF('年份考频'!T27:X27,"&gt;0")</x:f>
        <x:v>5</x:v>
      </x:c>
      <x:c r="F27" s="18" t="n">
        <x:f>COUNTIF('年份考频'!C27:S27,"&gt;0")</x:f>
        <x:v>17</x:v>
      </x:c>
      <x:c r="G27" s="18" t="n">
        <x:f>SUM('年份考频'!O27:S27)</x:f>
        <x:v>12</x:v>
      </x:c>
      <x:c r="H27" s="21" t="str">
        <x:v>第九章3、4。F=D+W、回收率、恒摩尔流、q及两段操作线</x:v>
      </x:c>
      <x:c r="I27" s="21" t="str">
        <x:v>2025年 三、简答第1题</x:v>
      </x:c>
    </x:row>
    <x:row r="28" ht="53" customHeight="1">
      <x:c r="A28" s="2" t="str">
        <x:v>D3</x:v>
      </x:c>
      <x:c r="B28" s="15" t="str">
        <x:v>逐板计算、理论板与板效率</x:v>
      </x:c>
      <x:c r="C28" s="15" t="str">
        <x:v>A·计算主线</x:v>
      </x:c>
      <x:c r="D28" s="18" t="n">
        <x:f>COUNTIF('年份考频'!O28:S28,"&gt;0")</x:f>
        <x:v>5</x:v>
      </x:c>
      <x:c r="E28" s="18" t="n">
        <x:f>COUNTIF('年份考频'!T28:X28,"&gt;0")</x:f>
        <x:v>4</x:v>
      </x:c>
      <x:c r="F28" s="18" t="n">
        <x:f>COUNTIF('年份考频'!C28:S28,"&gt;0")</x:f>
        <x:v>17</x:v>
      </x:c>
      <x:c r="G28" s="18" t="n">
        <x:f>SUM('年份考频'!O28:S28)</x:f>
        <x:v>8</x:v>
      </x:c>
      <x:c r="H28" s="21" t="str">
        <x:v>第九章4。全 / 分凝器与再沸器计板；Murphree效率与板间组成</x:v>
      </x:c>
      <x:c r="I28" s="21" t="str">
        <x:v>2024年 四、计算第5题</x:v>
      </x:c>
    </x:row>
    <x:row r="29" ht="53" customHeight="1">
      <x:c r="A29" s="2" t="str">
        <x:v>D4</x:v>
      </x:c>
      <x:c r="B29" s="15" t="str">
        <x:v>回流比、极限条件与操作分析</x:v>
      </x:c>
      <x:c r="C29" s="15" t="str">
        <x:v>A·计算主线</x:v>
      </x:c>
      <x:c r="D29" s="18" t="n">
        <x:f>COUNTIF('年份考频'!O29:S29,"&gt;0")</x:f>
        <x:v>5</x:v>
      </x:c>
      <x:c r="E29" s="18" t="n">
        <x:f>COUNTIF('年份考频'!T29:X29,"&gt;0")</x:f>
        <x:v>5</x:v>
      </x:c>
      <x:c r="F29" s="18" t="n">
        <x:f>COUNTIF('年份考频'!C29:S29,"&gt;0")</x:f>
        <x:v>15</x:v>
      </x:c>
      <x:c r="G29" s="18" t="n">
        <x:f>SUM('年份考频'!O29:S29)</x:f>
        <x:v>13</x:v>
      </x:c>
      <x:c r="H29" s="21" t="str">
        <x:v>第九章4。Rmin / 全回流；压力、回流、进料位置与产品变化</x:v>
      </x:c>
      <x:c r="I29" s="21" t="str">
        <x:v>2022年 二、简答第4题</x:v>
      </x:c>
    </x:row>
    <x:row r="30" ht="53" customHeight="1">
      <x:c r="A30" s="2" t="str">
        <x:v>D5</x:v>
      </x:c>
      <x:c r="B30" s="15" t="str">
        <x:v>简单、间歇与特殊蒸馏</x:v>
      </x:c>
      <x:c r="C30" s="15" t="str">
        <x:v>B·概念与简答</x:v>
      </x:c>
      <x:c r="D30" s="18" t="n">
        <x:f>COUNTIF('年份考频'!O30:S30,"&gt;0")</x:f>
        <x:v>2</x:v>
      </x:c>
      <x:c r="E30" s="18" t="n">
        <x:f>COUNTIF('年份考频'!T30:X30,"&gt;0")</x:f>
        <x:v>0</x:v>
      </x:c>
      <x:c r="F30" s="18" t="n">
        <x:f>COUNTIF('年份考频'!C30:S30,"&gt;0")</x:f>
        <x:v>8</x:v>
      </x:c>
      <x:c r="G30" s="18" t="n">
        <x:f>SUM('年份考频'!O30:S30)</x:f>
        <x:v>2</x:v>
      </x:c>
      <x:c r="H30" s="21" t="str">
        <x:v>第九章2、5。蒸馏方式比较；水蒸气、恒沸、萃取精馏</x:v>
      </x:c>
      <x:c r="I30" s="21" t="str">
        <x:v>2025年 三、简答第1题</x:v>
      </x:c>
    </x:row>
    <x:row r="31" ht="53" customHeight="1">
      <x:c r="A31" s="2" t="str">
        <x:v>A1</x:v>
      </x:c>
      <x:c r="B31" s="15" t="str">
        <x:v>亨利定律、平衡与传质方向</x:v>
      </x:c>
      <x:c r="C31" s="15" t="str">
        <x:v>B·概念与简答</x:v>
      </x:c>
      <x:c r="D31" s="18" t="n">
        <x:f>COUNTIF('年份考频'!O31:S31,"&gt;0")</x:f>
        <x:v>4</x:v>
      </x:c>
      <x:c r="E31" s="18" t="n">
        <x:f>COUNTIF('年份考频'!T31:X31,"&gt;0")</x:f>
        <x:v>0</x:v>
      </x:c>
      <x:c r="F31" s="18" t="n">
        <x:f>COUNTIF('年份考频'!C31:S31,"&gt;0")</x:f>
        <x:v>10</x:v>
      </x:c>
      <x:c r="G31" s="18" t="n">
        <x:f>SUM('年份考频'!O31:S31)</x:f>
        <x:v>5</x:v>
      </x:c>
      <x:c r="H31" s="21" t="str">
        <x:v>第十章1。E / H / m换算、温压影响、气液浓度及吸收解吸方向</x:v>
      </x:c>
      <x:c r="I31" s="21" t="str">
        <x:v>2025年 二、填空第8题</x:v>
      </x:c>
    </x:row>
    <x:row r="32" ht="53" customHeight="1">
      <x:c r="A32" s="2" t="str">
        <x:v>A2</x:v>
      </x:c>
      <x:c r="B32" s="15" t="str">
        <x:v>双膜理论、控制阻力与传质系数</x:v>
      </x:c>
      <x:c r="C32" s="15" t="str">
        <x:v>B·概念与简答</x:v>
      </x:c>
      <x:c r="D32" s="18" t="n">
        <x:f>COUNTIF('年份考频'!O32:S32,"&gt;0")</x:f>
        <x:v>4</x:v>
      </x:c>
      <x:c r="E32" s="18" t="n">
        <x:f>COUNTIF('年份考频'!T32:X32,"&gt;0")</x:f>
        <x:v>1</x:v>
      </x:c>
      <x:c r="F32" s="18" t="n">
        <x:f>COUNTIF('年份考频'!C32:S32,"&gt;0")</x:f>
        <x:v>10</x:v>
      </x:c>
      <x:c r="G32" s="18" t="n">
        <x:f>SUM('年份考频'!O32:S32)</x:f>
        <x:v>6</x:v>
      </x:c>
      <x:c r="H32" s="21" t="str">
        <x:v>第十章2。总 / 分系数换算、界面浓度、易难溶及控制膜</x:v>
      </x:c>
      <x:c r="I32" s="21" t="str">
        <x:v>2023年 二、简答第4题</x:v>
      </x:c>
    </x:row>
    <x:row r="33" ht="53" customHeight="1">
      <x:c r="A33" s="2" t="str">
        <x:v>A3</x:v>
      </x:c>
      <x:c r="B33" s="15" t="str">
        <x:v>物料衡算、操作线与最小液气比</x:v>
      </x:c>
      <x:c r="C33" s="15" t="str">
        <x:v>A·计算主线</x:v>
      </x:c>
      <x:c r="D33" s="18" t="n">
        <x:f>COUNTIF('年份考频'!O33:S33,"&gt;0")</x:f>
        <x:v>5</x:v>
      </x:c>
      <x:c r="E33" s="18" t="n">
        <x:f>COUNTIF('年份考频'!T33:X33,"&gt;0")</x:f>
        <x:v>5</x:v>
      </x:c>
      <x:c r="F33" s="18" t="n">
        <x:f>COUNTIF('年份考频'!C33:S33,"&gt;0")</x:f>
        <x:v>17</x:v>
      </x:c>
      <x:c r="G33" s="18" t="n">
        <x:f>SUM('年份考频'!O33:S33)</x:f>
        <x:v>7</x:v>
      </x:c>
      <x:c r="H33" s="21" t="str">
        <x:v>第十章3。摩尔分数 / 摩尔比、纯溶剂 / 循环溶剂、吸收因子</x:v>
      </x:c>
      <x:c r="I33" s="21" t="str">
        <x:v>2022年 二、简答第3题</x:v>
      </x:c>
    </x:row>
    <x:row r="34" ht="53" customHeight="1">
      <x:c r="A34" s="2" t="str">
        <x:v>A4</x:v>
      </x:c>
      <x:c r="B34" s="15" t="str">
        <x:v>传质单元、填料高度与理论级</x:v>
      </x:c>
      <x:c r="C34" s="15" t="str">
        <x:v>A·计算主线</x:v>
      </x:c>
      <x:c r="D34" s="18" t="n">
        <x:f>COUNTIF('年份考频'!O34:S34,"&gt;0")</x:f>
        <x:v>5</x:v>
      </x:c>
      <x:c r="E34" s="18" t="n">
        <x:f>COUNTIF('年份考频'!T34:X34,"&gt;0")</x:f>
        <x:v>5</x:v>
      </x:c>
      <x:c r="F34" s="18" t="n">
        <x:f>COUNTIF('年份考频'!C34:S34,"&gt;0")</x:f>
        <x:v>17</x:v>
      </x:c>
      <x:c r="G34" s="18" t="n">
        <x:f>SUM('年份考频'!O34:S34)</x:f>
        <x:v>8</x:v>
      </x:c>
      <x:c r="H34" s="21" t="str">
        <x:v>第十章3。HOG / NOG含义、平均推动力、塔高及HETP比较</x:v>
      </x:c>
      <x:c r="I34" s="21" t="str">
        <x:v>2025年 六、计算</x:v>
      </x:c>
    </x:row>
    <x:row r="35" ht="53" customHeight="1">
      <x:c r="A35" s="2" t="str">
        <x:v>A5</x:v>
      </x:c>
      <x:c r="B35" s="15" t="str">
        <x:v>吸收 / 解吸的操作变化与强化</x:v>
      </x:c>
      <x:c r="C35" s="15" t="str">
        <x:v>B·概念与简答</x:v>
      </x:c>
      <x:c r="D35" s="18" t="n">
        <x:f>COUNTIF('年份考频'!O35:S35,"&gt;0")</x:f>
        <x:v>3</x:v>
      </x:c>
      <x:c r="E35" s="18" t="n">
        <x:f>COUNTIF('年份考频'!T35:X35,"&gt;0")</x:f>
        <x:v>2</x:v>
      </x:c>
      <x:c r="F35" s="18" t="n">
        <x:f>COUNTIF('年份考频'!C35:S35,"&gt;0")</x:f>
        <x:v>15</x:v>
      </x:c>
      <x:c r="G35" s="18" t="n">
        <x:f>SUM('年份考频'!O35:S35)</x:f>
        <x:v>7</x:v>
      </x:c>
      <x:c r="H35" s="21" t="str">
        <x:v>第十章3。气液流量、进口浓度、温压、串并联与分段加料</x:v>
      </x:c>
      <x:c r="I35" s="21" t="str">
        <x:v>2022年 二、简答第3题</x:v>
      </x:c>
    </x:row>
    <x:row r="36" ht="53" customHeight="1">
      <x:c r="A36" s="2" t="str">
        <x:v>X1</x:v>
      </x:c>
      <x:c r="B36" s="15" t="str">
        <x:v>选择性、分配系数与单级萃取</x:v>
      </x:c>
      <x:c r="C36" s="15" t="str">
        <x:v>B·概念与简答</x:v>
      </x:c>
      <x:c r="D36" s="18" t="n">
        <x:f>COUNTIF('年份考频'!O36:S36,"&gt;0")</x:f>
        <x:v>3</x:v>
      </x:c>
      <x:c r="E36" s="18" t="n">
        <x:f>COUNTIF('年份考频'!T36:X36,"&gt;0")</x:f>
        <x:v>0</x:v>
      </x:c>
      <x:c r="F36" s="18" t="n">
        <x:f>COUNTIF('年份考频'!C36:S36,"&gt;0")</x:f>
        <x:v>15</x:v>
      </x:c>
      <x:c r="G36" s="18" t="n">
        <x:f>SUM('年份考频'!O36:S36)</x:f>
        <x:v>3</x:v>
      </x:c>
      <x:c r="H36" s="21" t="str">
        <x:v>第十一章。选剂依据、三角相图、杠杆规则、溶剂量与组成</x:v>
      </x:c>
      <x:c r="I36" s="21" t="str">
        <x:v>2025年 三、简答第3题</x:v>
      </x:c>
    </x:row>
    <x:row r="37" ht="53" customHeight="1">
      <x:c r="A37" s="2" t="str">
        <x:v>T1</x:v>
      </x:c>
      <x:c r="B37" s="15" t="str">
        <x:v>板式 / 填料塔、液泛与负荷图</x:v>
      </x:c>
      <x:c r="C37" s="15" t="str">
        <x:v>B·概念与简答</x:v>
      </x:c>
      <x:c r="D37" s="18" t="n">
        <x:f>COUNTIF('年份考频'!O37:S37,"&gt;0")</x:f>
        <x:v>5</x:v>
      </x:c>
      <x:c r="E37" s="18" t="n">
        <x:f>COUNTIF('年份考频'!T37:X37,"&gt;0")</x:f>
        <x:v>0</x:v>
      </x:c>
      <x:c r="F37" s="18" t="n">
        <x:f>COUNTIF('年份考频'!C37:S37,"&gt;0")</x:f>
        <x:v>15</x:v>
      </x:c>
      <x:c r="G37" s="18" t="n">
        <x:f>SUM('年份考频'!O37:S37)</x:f>
        <x:v>6</x:v>
      </x:c>
      <x:c r="H37" s="21" t="str">
        <x:v>第十二章。两相接触、漏液 / 夹带 / 液泛、操作弹性与结构</x:v>
      </x:c>
      <x:c r="I37" s="21" t="str">
        <x:v>2024年 三、简答第2题</x:v>
      </x:c>
    </x:row>
    <x:row r="38" ht="53" customHeight="1">
      <x:c r="A38" s="2" t="str">
        <x:v>O1</x:v>
      </x:c>
      <x:c r="B38" s="15" t="str">
        <x:v>热辐射</x:v>
      </x:c>
      <x:c r="C38" s="15" t="str">
        <x:v>历史内容·降级</x:v>
      </x:c>
      <x:c r="D38" s="18" t="n">
        <x:f>COUNTIF('年份考频'!O38:S38,"&gt;0")</x:f>
        <x:v>1</x:v>
      </x:c>
      <x:c r="E38" s="18" t="n">
        <x:f>COUNTIF('年份考频'!T38:X38,"&gt;0")</x:f>
        <x:v>0</x:v>
      </x:c>
      <x:c r="F38" s="18" t="n">
        <x:f>COUNTIF('年份考频'!C38:S38,"&gt;0")</x:f>
        <x:v>9</x:v>
      </x:c>
      <x:c r="G38" s="18" t="n">
        <x:f>SUM('年份考频'!O38:S38)</x:f>
        <x:v>1</x:v>
      </x:c>
      <x:c r="H38" s="21" t="str">
        <x:v>现行大纲未列。仅保留历史记录，复习降级</x:v>
      </x:c>
      <x:c r="I38" s="21" t="str">
        <x:v>2022年 一、填空第11题</x:v>
      </x:c>
    </x:row>
    <x:row r="39" ht="53" customHeight="1">
      <x:c r="A39" s="2" t="str">
        <x:v>O2</x:v>
      </x:c>
      <x:c r="B39" s="15" t="str">
        <x:v>干燥与湿空气</x:v>
      </x:c>
      <x:c r="C39" s="15" t="str">
        <x:v>历史内容·降级</x:v>
      </x:c>
      <x:c r="D39" s="18" t="n">
        <x:f>COUNTIF('年份考频'!O39:S39,"&gt;0")</x:f>
        <x:v>1</x:v>
      </x:c>
      <x:c r="E39" s="18" t="n">
        <x:f>COUNTIF('年份考频'!T39:X39,"&gt;0")</x:f>
        <x:v>0</x:v>
      </x:c>
      <x:c r="F39" s="18" t="n">
        <x:f>COUNTIF('年份考频'!C39:S39,"&gt;0")</x:f>
        <x:v>2</x:v>
      </x:c>
      <x:c r="G39" s="18" t="n">
        <x:f>SUM('年份考频'!O39:S39)</x:f>
        <x:v>2</x:v>
      </x:c>
      <x:c r="H39" s="21" t="str">
        <x:v>现行大纲未列。仅保留历史记录，复习降级</x:v>
      </x:c>
      <x:c r="I39" s="21" t="str">
        <x:v>2021年 一、填空第10题</x:v>
      </x:c>
    </x:row>
    <x:row r="40" ht="53" customHeight="1">
      <x:c r="A40" s="2" t="str">
        <x:v>O3</x:v>
      </x:c>
      <x:c r="B40" s="15" t="str">
        <x:v>压缩机、结晶等历史内容</x:v>
      </x:c>
      <x:c r="C40" s="15" t="str">
        <x:v>历史内容·降级</x:v>
      </x:c>
      <x:c r="D40" s="18" t="n">
        <x:f>COUNTIF('年份考频'!O40:S40,"&gt;0")</x:f>
        <x:v>0</x:v>
      </x:c>
      <x:c r="E40" s="18" t="n">
        <x:f>COUNTIF('年份考频'!T40:X40,"&gt;0")</x:f>
        <x:v>0</x:v>
      </x:c>
      <x:c r="F40" s="18" t="n">
        <x:f>COUNTIF('年份考频'!C40:S40,"&gt;0")</x:f>
        <x:v>2</x:v>
      </x:c>
      <x:c r="G40" s="18" t="n">
        <x:f>SUM('年份考频'!O40:S40)</x:f>
        <x:v>0</x:v>
      </x:c>
      <x:c r="H40" s="21" t="str">
        <x:v>现行大纲未列。仅保留历史记录，复习降级</x:v>
      </x:c>
      <x:c r="I40" s="21" t="str">
        <x:v>近期未见，保留大纲要求</x:v>
      </x:c>
    </x:row>
  </x:sheetData>
  <x:conditionalFormatting sqref="C7:C40">
    <x:cfRule type="beginsWith" dxfId="1" priority="1" operator="beginsWith" text="A"/>
    <x:cfRule type="beginsWith" dxfId="2" priority="2" operator="beginsWith" text="历史"/>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6.880000114440918" hidden="0" customWidth="1"/>
    <x:col min="2" max="2" width="35"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 min="22" max="22" width="9" hidden="0" customWidth="1"/>
    <x:col min="23" max="23" width="9" hidden="0" customWidth="1"/>
    <x:col min="24" max="24" width="9"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row>
    <x:row r="2" ht="28" customHeight="1">
      <x:c r="A2" s="3" t="str">
        <x:v>知识点 × 年份考频</x:v>
      </x:c>
      <x:c r="B2" s="2"/>
      <x:c r="C2" s="2"/>
      <x:c r="D2" s="2"/>
      <x:c r="E2" s="2"/>
      <x:c r="F2" s="2"/>
      <x:c r="G2" s="2"/>
      <x:c r="H2" s="2"/>
      <x:c r="I2" s="2"/>
      <x:c r="J2" s="2"/>
      <x:c r="K2" s="2"/>
      <x:c r="L2" s="2"/>
      <x:c r="M2" s="2"/>
      <x:c r="N2" s="2"/>
      <x:c r="O2" s="2"/>
      <x:c r="P2" s="2"/>
      <x:c r="Q2" s="2"/>
      <x:c r="R2" s="2"/>
      <x:c r="S2" s="2"/>
      <x:c r="T2" s="2"/>
      <x:c r="U2" s="2"/>
      <x:c r="V2" s="2"/>
      <x:c r="W2" s="2"/>
      <x:c r="X2" s="2"/>
    </x:row>
    <x:row r="3" ht="23" customHeight="1">
      <x:c r="A3" s="37" t="str">
        <x:v>单元格为覆盖该知识点的原编号题数，同一题同一考点只计一次；不同考点可重叠。</x:v>
      </x:c>
      <x:c r="B3" s="2"/>
      <x:c r="C3" s="2"/>
      <x:c r="D3" s="2"/>
      <x:c r="E3" s="2"/>
      <x:c r="F3" s="2"/>
      <x:c r="G3" s="2"/>
      <x:c r="H3" s="2"/>
      <x:c r="I3" s="2"/>
      <x:c r="J3" s="2"/>
      <x:c r="K3" s="2"/>
      <x:c r="L3" s="2"/>
      <x:c r="M3" s="2"/>
      <x:c r="N3" s="2"/>
      <x:c r="O3" s="2"/>
      <x:c r="P3" s="2"/>
      <x:c r="Q3" s="2"/>
      <x:c r="R3" s="2"/>
      <x:c r="S3" s="2"/>
      <x:c r="T3" s="2"/>
      <x:c r="U3" s="2"/>
      <x:c r="V3" s="2"/>
      <x:c r="W3" s="2"/>
      <x:c r="X3" s="2"/>
    </x:row>
    <x:row r="4" ht="23" customHeight="1">
      <x:c r="A4" s="37" t="str">
        <x:v>主统计1999—2010、2021—2025；2011—2020改编模拟题已剔除。右侧另列最近五年计算题数。</x:v>
      </x:c>
      <x:c r="B4" s="2"/>
      <x:c r="C4" s="2"/>
      <x:c r="D4" s="2"/>
      <x:c r="E4" s="2"/>
      <x:c r="F4" s="2"/>
      <x:c r="G4" s="2"/>
      <x:c r="H4" s="2"/>
      <x:c r="I4" s="2"/>
      <x:c r="J4" s="2"/>
      <x:c r="K4" s="2"/>
      <x:c r="L4" s="2"/>
      <x:c r="M4" s="2"/>
      <x:c r="N4" s="2"/>
      <x:c r="O4" s="2"/>
      <x:c r="P4" s="2"/>
      <x:c r="Q4" s="2"/>
      <x:c r="R4" s="2"/>
      <x:c r="S4" s="2"/>
      <x:c r="T4" s="2"/>
      <x:c r="U4" s="2"/>
      <x:c r="V4" s="2"/>
      <x:c r="W4" s="2"/>
      <x:c r="X4" s="2"/>
    </x:row>
    <x:row r="5" ht="23" customHeight="1">
      <x:c r="A5" s="37"/>
      <x:c r="B5" s="2"/>
      <x:c r="C5" s="2"/>
      <x:c r="D5" s="2"/>
      <x:c r="E5" s="2"/>
      <x:c r="F5" s="2"/>
      <x:c r="G5" s="2"/>
      <x:c r="H5" s="2"/>
      <x:c r="I5" s="2"/>
      <x:c r="J5" s="2"/>
      <x:c r="K5" s="2"/>
      <x:c r="L5" s="2"/>
      <x:c r="M5" s="2"/>
      <x:c r="N5" s="2"/>
      <x:c r="O5" s="2"/>
      <x:c r="P5" s="2"/>
      <x:c r="Q5" s="2"/>
      <x:c r="R5" s="2"/>
      <x:c r="S5" s="2"/>
      <x:c r="T5" s="2"/>
      <x:c r="U5" s="2"/>
      <x:c r="V5" s="2"/>
      <x:c r="W5" s="2"/>
      <x:c r="X5" s="2"/>
    </x:row>
    <x:row r="6" ht="32" customHeight="1">
      <x:c r="A6" s="12" t="str">
        <x:v>代码</x:v>
      </x:c>
      <x:c r="B6" s="13" t="str">
        <x:v>知识点</x:v>
      </x:c>
      <x:c r="C6" s="13" t="n">
        <x:v>1999</x:v>
      </x:c>
      <x:c r="D6" s="13" t="n">
        <x:v>2000</x:v>
      </x:c>
      <x:c r="E6" s="13" t="n">
        <x:v>2001</x:v>
      </x:c>
      <x:c r="F6" s="13" t="n">
        <x:v>2002</x:v>
      </x:c>
      <x:c r="G6" s="13" t="n">
        <x:v>2003</x:v>
      </x:c>
      <x:c r="H6" s="13" t="n">
        <x:v>2004</x:v>
      </x:c>
      <x:c r="I6" s="13" t="n">
        <x:v>2005</x:v>
      </x:c>
      <x:c r="J6" s="13" t="n">
        <x:v>2006</x:v>
      </x:c>
      <x:c r="K6" s="13" t="n">
        <x:v>2007</x:v>
      </x:c>
      <x:c r="L6" s="13" t="n">
        <x:v>2008</x:v>
      </x:c>
      <x:c r="M6" s="13" t="n">
        <x:v>2009</x:v>
      </x:c>
      <x:c r="N6" s="13" t="n">
        <x:v>2010</x:v>
      </x:c>
      <x:c r="O6" s="13" t="n">
        <x:v>2021</x:v>
      </x:c>
      <x:c r="P6" s="13" t="n">
        <x:v>2022</x:v>
      </x:c>
      <x:c r="Q6" s="13" t="n">
        <x:v>2023</x:v>
      </x:c>
      <x:c r="R6" s="13" t="n">
        <x:v>2024</x:v>
      </x:c>
      <x:c r="S6" s="13" t="n">
        <x:v>2025</x:v>
      </x:c>
      <x:c r="T6" s="13" t="str">
        <x:v>2021计算</x:v>
      </x:c>
      <x:c r="U6" s="13" t="str">
        <x:v>2022计算</x:v>
      </x:c>
      <x:c r="V6" s="13" t="str">
        <x:v>2023计算</x:v>
      </x:c>
      <x:c r="W6" s="13" t="str">
        <x:v>2024计算</x:v>
      </x:c>
      <x:c r="X6" s="14" t="str">
        <x:v>2025计算</x:v>
      </x:c>
    </x:row>
    <x:row r="7" ht="32" customHeight="1">
      <x:c r="A7" s="2" t="str">
        <x:v>F1</x:v>
      </x:c>
      <x:c r="B7" s="2" t="str">
        <x:v>静力学、压力与U形压差计</x:v>
      </x:c>
      <x:c r="C7" s="35" t="n">
        <x:f>COUNTIFS($B$47:$B$644,$A7,$A$47:$A$644,C$6)</x:f>
        <x:v>1</x:v>
      </x:c>
      <x:c r="D7" s="35" t="n">
        <x:f>COUNTIFS($B$47:$B$644,$A7,$A$47:$A$644,D$6)</x:f>
        <x:v>1</x:v>
      </x:c>
      <x:c r="E7" s="35" t="n">
        <x:f>COUNTIFS($B$47:$B$644,$A7,$A$47:$A$644,E$6)</x:f>
        <x:v>1</x:v>
      </x:c>
      <x:c r="F7" s="35" t="n">
        <x:f>COUNTIFS($B$47:$B$644,$A7,$A$47:$A$644,F$6)</x:f>
        <x:v>1</x:v>
      </x:c>
      <x:c r="G7" s="35" t="n">
        <x:f>COUNTIFS($B$47:$B$644,$A7,$A$47:$A$644,G$6)</x:f>
        <x:v>1</x:v>
      </x:c>
      <x:c r="H7" s="35" t="n">
        <x:f>COUNTIFS($B$47:$B$644,$A7,$A$47:$A$644,H$6)</x:f>
        <x:v>1</x:v>
      </x:c>
      <x:c r="I7" s="35" t="n">
        <x:f>COUNTIFS($B$47:$B$644,$A7,$A$47:$A$644,I$6)</x:f>
        <x:v>1</x:v>
      </x:c>
      <x:c r="J7" s="35" t="n">
        <x:f>COUNTIFS($B$47:$B$644,$A7,$A$47:$A$644,J$6)</x:f>
        <x:v>1</x:v>
      </x:c>
      <x:c r="K7" s="35" t="n">
        <x:f>COUNTIFS($B$47:$B$644,$A7,$A$47:$A$644,K$6)</x:f>
        <x:v>1</x:v>
      </x:c>
      <x:c r="L7" s="35" t="n">
        <x:f>COUNTIFS($B$47:$B$644,$A7,$A$47:$A$644,L$6)</x:f>
        <x:v>1</x:v>
      </x:c>
      <x:c r="M7" s="35" t="n">
        <x:f>COUNTIFS($B$47:$B$644,$A7,$A$47:$A$644,M$6)</x:f>
        <x:v>1</x:v>
      </x:c>
      <x:c r="N7" s="35" t="n">
        <x:f>COUNTIFS($B$47:$B$644,$A7,$A$47:$A$644,N$6)</x:f>
        <x:v>0</x:v>
      </x:c>
      <x:c r="O7" s="35" t="n">
        <x:f>COUNTIFS($B$47:$B$644,$A7,$A$47:$A$644,O$6)</x:f>
        <x:v>0</x:v>
      </x:c>
      <x:c r="P7" s="35" t="n">
        <x:f>COUNTIFS($B$47:$B$644,$A7,$A$47:$A$644,P$6)</x:f>
        <x:v>1</x:v>
      </x:c>
      <x:c r="Q7" s="35" t="n">
        <x:f>COUNTIFS($B$47:$B$644,$A7,$A$47:$A$644,Q$6)</x:f>
        <x:v>0</x:v>
      </x:c>
      <x:c r="R7" s="35" t="n">
        <x:f>COUNTIFS($B$47:$B$644,$A7,$A$47:$A$644,R$6)</x:f>
        <x:v>0</x:v>
      </x:c>
      <x:c r="S7" s="35" t="n">
        <x:f>COUNTIFS($B$47:$B$644,$A7,$A$47:$A$644,S$6)</x:f>
        <x:v>1</x:v>
      </x:c>
      <x:c r="T7" s="35" t="n">
        <x:f>COUNTIFS($B$47:$B$644,$A7,$A$47:$A$644,2021,$C$47:$C$644,"计算")</x:f>
        <x:v>0</x:v>
      </x:c>
      <x:c r="U7" s="35" t="n">
        <x:f>COUNTIFS($B$47:$B$644,$A7,$A$47:$A$644,2022,$C$47:$C$644,"计算")</x:f>
        <x:v>0</x:v>
      </x:c>
      <x:c r="V7" s="35" t="n">
        <x:f>COUNTIFS($B$47:$B$644,$A7,$A$47:$A$644,2023,$C$47:$C$644,"计算")</x:f>
        <x:v>0</x:v>
      </x:c>
      <x:c r="W7" s="35" t="n">
        <x:f>COUNTIFS($B$47:$B$644,$A7,$A$47:$A$644,2024,$C$47:$C$644,"计算")</x:f>
        <x:v>0</x:v>
      </x:c>
      <x:c r="X7" s="35" t="n">
        <x:f>COUNTIFS($B$47:$B$644,$A7,$A$47:$A$644,2025,$C$47:$C$644,"计算")</x:f>
        <x:v>1</x:v>
      </x:c>
    </x:row>
    <x:row r="8" ht="32" customHeight="1">
      <x:c r="A8" s="2" t="str">
        <x:v>F2</x:v>
      </x:c>
      <x:c r="B8" s="2" t="str">
        <x:v>连续性、伯努利与管路计算</x:v>
      </x:c>
      <x:c r="C8" s="35" t="n">
        <x:f>COUNTIFS($B$47:$B$644,$A8,$A$47:$A$644,C$6)</x:f>
        <x:v>1</x:v>
      </x:c>
      <x:c r="D8" s="35" t="n">
        <x:f>COUNTIFS($B$47:$B$644,$A8,$A$47:$A$644,D$6)</x:f>
        <x:v>1</x:v>
      </x:c>
      <x:c r="E8" s="35" t="n">
        <x:f>COUNTIFS($B$47:$B$644,$A8,$A$47:$A$644,E$6)</x:f>
        <x:v>1</x:v>
      </x:c>
      <x:c r="F8" s="35" t="n">
        <x:f>COUNTIFS($B$47:$B$644,$A8,$A$47:$A$644,F$6)</x:f>
        <x:v>1</x:v>
      </x:c>
      <x:c r="G8" s="35" t="n">
        <x:f>COUNTIFS($B$47:$B$644,$A8,$A$47:$A$644,G$6)</x:f>
        <x:v>2</x:v>
      </x:c>
      <x:c r="H8" s="35" t="n">
        <x:f>COUNTIFS($B$47:$B$644,$A8,$A$47:$A$644,H$6)</x:f>
        <x:v>2</x:v>
      </x:c>
      <x:c r="I8" s="35" t="n">
        <x:f>COUNTIFS($B$47:$B$644,$A8,$A$47:$A$644,I$6)</x:f>
        <x:v>1</x:v>
      </x:c>
      <x:c r="J8" s="35" t="n">
        <x:f>COUNTIFS($B$47:$B$644,$A8,$A$47:$A$644,J$6)</x:f>
        <x:v>1</x:v>
      </x:c>
      <x:c r="K8" s="35" t="n">
        <x:f>COUNTIFS($B$47:$B$644,$A8,$A$47:$A$644,K$6)</x:f>
        <x:v>1</x:v>
      </x:c>
      <x:c r="L8" s="35" t="n">
        <x:f>COUNTIFS($B$47:$B$644,$A8,$A$47:$A$644,L$6)</x:f>
        <x:v>3</x:v>
      </x:c>
      <x:c r="M8" s="35" t="n">
        <x:f>COUNTIFS($B$47:$B$644,$A8,$A$47:$A$644,M$6)</x:f>
        <x:v>1</x:v>
      </x:c>
      <x:c r="N8" s="35" t="n">
        <x:f>COUNTIFS($B$47:$B$644,$A8,$A$47:$A$644,N$6)</x:f>
        <x:v>2</x:v>
      </x:c>
      <x:c r="O8" s="35" t="n">
        <x:f>COUNTIFS($B$47:$B$644,$A8,$A$47:$A$644,O$6)</x:f>
        <x:v>1</x:v>
      </x:c>
      <x:c r="P8" s="35" t="n">
        <x:f>COUNTIFS($B$47:$B$644,$A8,$A$47:$A$644,P$6)</x:f>
        <x:v>2</x:v>
      </x:c>
      <x:c r="Q8" s="35" t="n">
        <x:f>COUNTIFS($B$47:$B$644,$A8,$A$47:$A$644,Q$6)</x:f>
        <x:v>3</x:v>
      </x:c>
      <x:c r="R8" s="35" t="n">
        <x:f>COUNTIFS($B$47:$B$644,$A8,$A$47:$A$644,R$6)</x:f>
        <x:v>1</x:v>
      </x:c>
      <x:c r="S8" s="35" t="n">
        <x:f>COUNTIFS($B$47:$B$644,$A8,$A$47:$A$644,S$6)</x:f>
        <x:v>2</x:v>
      </x:c>
      <x:c r="T8" s="35" t="n">
        <x:f>COUNTIFS($B$47:$B$644,$A8,$A$47:$A$644,2021,$C$47:$C$644,"计算")</x:f>
        <x:v>1</x:v>
      </x:c>
      <x:c r="U8" s="35" t="n">
        <x:f>COUNTIFS($B$47:$B$644,$A8,$A$47:$A$644,2022,$C$47:$C$644,"计算")</x:f>
        <x:v>1</x:v>
      </x:c>
      <x:c r="V8" s="35" t="n">
        <x:f>COUNTIFS($B$47:$B$644,$A8,$A$47:$A$644,2023,$C$47:$C$644,"计算")</x:f>
        <x:v>1</x:v>
      </x:c>
      <x:c r="W8" s="35" t="n">
        <x:f>COUNTIFS($B$47:$B$644,$A8,$A$47:$A$644,2024,$C$47:$C$644,"计算")</x:f>
        <x:v>1</x:v>
      </x:c>
      <x:c r="X8" s="35" t="n">
        <x:f>COUNTIFS($B$47:$B$644,$A8,$A$47:$A$644,2025,$C$47:$C$644,"计算")</x:f>
        <x:v>1</x:v>
      </x:c>
    </x:row>
    <x:row r="9" ht="32" customHeight="1">
      <x:c r="A9" s="2" t="str">
        <x:v>F3</x:v>
      </x:c>
      <x:c r="B9" s="2" t="str">
        <x:v>黏性、Re、流型与管路阻力</x:v>
      </x:c>
      <x:c r="C9" s="35" t="n">
        <x:f>COUNTIFS($B$47:$B$644,$A9,$A$47:$A$644,C$6)</x:f>
        <x:v>1</x:v>
      </x:c>
      <x:c r="D9" s="35" t="n">
        <x:f>COUNTIFS($B$47:$B$644,$A9,$A$47:$A$644,D$6)</x:f>
        <x:v>2</x:v>
      </x:c>
      <x:c r="E9" s="35" t="n">
        <x:f>COUNTIFS($B$47:$B$644,$A9,$A$47:$A$644,E$6)</x:f>
        <x:v>2</x:v>
      </x:c>
      <x:c r="F9" s="35" t="n">
        <x:f>COUNTIFS($B$47:$B$644,$A9,$A$47:$A$644,F$6)</x:f>
        <x:v>2</x:v>
      </x:c>
      <x:c r="G9" s="35" t="n">
        <x:f>COUNTIFS($B$47:$B$644,$A9,$A$47:$A$644,G$6)</x:f>
        <x:v>2</x:v>
      </x:c>
      <x:c r="H9" s="35" t="n">
        <x:f>COUNTIFS($B$47:$B$644,$A9,$A$47:$A$644,H$6)</x:f>
        <x:v>2</x:v>
      </x:c>
      <x:c r="I9" s="35" t="n">
        <x:f>COUNTIFS($B$47:$B$644,$A9,$A$47:$A$644,I$6)</x:f>
        <x:v>2</x:v>
      </x:c>
      <x:c r="J9" s="35" t="n">
        <x:f>COUNTIFS($B$47:$B$644,$A9,$A$47:$A$644,J$6)</x:f>
        <x:v>2</x:v>
      </x:c>
      <x:c r="K9" s="35" t="n">
        <x:f>COUNTIFS($B$47:$B$644,$A9,$A$47:$A$644,K$6)</x:f>
        <x:v>2</x:v>
      </x:c>
      <x:c r="L9" s="35" t="n">
        <x:f>COUNTIFS($B$47:$B$644,$A9,$A$47:$A$644,L$6)</x:f>
        <x:v>2</x:v>
      </x:c>
      <x:c r="M9" s="35" t="n">
        <x:f>COUNTIFS($B$47:$B$644,$A9,$A$47:$A$644,M$6)</x:f>
        <x:v>3</x:v>
      </x:c>
      <x:c r="N9" s="35" t="n">
        <x:f>COUNTIFS($B$47:$B$644,$A9,$A$47:$A$644,N$6)</x:f>
        <x:v>3</x:v>
      </x:c>
      <x:c r="O9" s="35" t="n">
        <x:f>COUNTIFS($B$47:$B$644,$A9,$A$47:$A$644,O$6)</x:f>
        <x:v>3</x:v>
      </x:c>
      <x:c r="P9" s="35" t="n">
        <x:f>COUNTIFS($B$47:$B$644,$A9,$A$47:$A$644,P$6)</x:f>
        <x:v>2</x:v>
      </x:c>
      <x:c r="Q9" s="35" t="n">
        <x:f>COUNTIFS($B$47:$B$644,$A9,$A$47:$A$644,Q$6)</x:f>
        <x:v>3</x:v>
      </x:c>
      <x:c r="R9" s="35" t="n">
        <x:f>COUNTIFS($B$47:$B$644,$A9,$A$47:$A$644,R$6)</x:f>
        <x:v>2</x:v>
      </x:c>
      <x:c r="S9" s="35" t="n">
        <x:f>COUNTIFS($B$47:$B$644,$A9,$A$47:$A$644,S$6)</x:f>
        <x:v>2</x:v>
      </x:c>
      <x:c r="T9" s="35" t="n">
        <x:f>COUNTIFS($B$47:$B$644,$A9,$A$47:$A$644,2021,$C$47:$C$644,"计算")</x:f>
        <x:v>1</x:v>
      </x:c>
      <x:c r="U9" s="35" t="n">
        <x:f>COUNTIFS($B$47:$B$644,$A9,$A$47:$A$644,2022,$C$47:$C$644,"计算")</x:f>
        <x:v>1</x:v>
      </x:c>
      <x:c r="V9" s="35" t="n">
        <x:f>COUNTIFS($B$47:$B$644,$A9,$A$47:$A$644,2023,$C$47:$C$644,"计算")</x:f>
        <x:v>1</x:v>
      </x:c>
      <x:c r="W9" s="35" t="n">
        <x:f>COUNTIFS($B$47:$B$644,$A9,$A$47:$A$644,2024,$C$47:$C$644,"计算")</x:f>
        <x:v>1</x:v>
      </x:c>
      <x:c r="X9" s="35" t="n">
        <x:f>COUNTIFS($B$47:$B$644,$A9,$A$47:$A$644,2025,$C$47:$C$644,"计算")</x:f>
        <x:v>1</x:v>
      </x:c>
    </x:row>
    <x:row r="10" ht="32" customHeight="1">
      <x:c r="A10" s="2" t="str">
        <x:v>F4</x:v>
      </x:c>
      <x:c r="B10" s="2" t="str">
        <x:v>边界层与因次分析</x:v>
      </x:c>
      <x:c r="C10" s="35" t="n">
        <x:f>COUNTIFS($B$47:$B$644,$A10,$A$47:$A$644,C$6)</x:f>
        <x:v>0</x:v>
      </x:c>
      <x:c r="D10" s="35" t="n">
        <x:f>COUNTIFS($B$47:$B$644,$A10,$A$47:$A$644,D$6)</x:f>
        <x:v>1</x:v>
      </x:c>
      <x:c r="E10" s="35" t="n">
        <x:f>COUNTIFS($B$47:$B$644,$A10,$A$47:$A$644,E$6)</x:f>
        <x:v>0</x:v>
      </x:c>
      <x:c r="F10" s="35" t="n">
        <x:f>COUNTIFS($B$47:$B$644,$A10,$A$47:$A$644,F$6)</x:f>
        <x:v>0</x:v>
      </x:c>
      <x:c r="G10" s="35" t="n">
        <x:f>COUNTIFS($B$47:$B$644,$A10,$A$47:$A$644,G$6)</x:f>
        <x:v>0</x:v>
      </x:c>
      <x:c r="H10" s="35" t="n">
        <x:f>COUNTIFS($B$47:$B$644,$A10,$A$47:$A$644,H$6)</x:f>
        <x:v>0</x:v>
      </x:c>
      <x:c r="I10" s="35" t="n">
        <x:f>COUNTIFS($B$47:$B$644,$A10,$A$47:$A$644,I$6)</x:f>
        <x:v>0</x:v>
      </x:c>
      <x:c r="J10" s="35" t="n">
        <x:f>COUNTIFS($B$47:$B$644,$A10,$A$47:$A$644,J$6)</x:f>
        <x:v>1</x:v>
      </x:c>
      <x:c r="K10" s="35" t="n">
        <x:f>COUNTIFS($B$47:$B$644,$A10,$A$47:$A$644,K$6)</x:f>
        <x:v>0</x:v>
      </x:c>
      <x:c r="L10" s="35" t="n">
        <x:f>COUNTIFS($B$47:$B$644,$A10,$A$47:$A$644,L$6)</x:f>
        <x:v>0</x:v>
      </x:c>
      <x:c r="M10" s="35" t="n">
        <x:f>COUNTIFS($B$47:$B$644,$A10,$A$47:$A$644,M$6)</x:f>
        <x:v>0</x:v>
      </x:c>
      <x:c r="N10" s="35" t="n">
        <x:f>COUNTIFS($B$47:$B$644,$A10,$A$47:$A$644,N$6)</x:f>
        <x:v>1</x:v>
      </x:c>
      <x:c r="O10" s="35" t="n">
        <x:f>COUNTIFS($B$47:$B$644,$A10,$A$47:$A$644,O$6)</x:f>
        <x:v>0</x:v>
      </x:c>
      <x:c r="P10" s="35" t="n">
        <x:f>COUNTIFS($B$47:$B$644,$A10,$A$47:$A$644,P$6)</x:f>
        <x:v>1</x:v>
      </x:c>
      <x:c r="Q10" s="35" t="n">
        <x:f>COUNTIFS($B$47:$B$644,$A10,$A$47:$A$644,Q$6)</x:f>
        <x:v>0</x:v>
      </x:c>
      <x:c r="R10" s="35" t="n">
        <x:f>COUNTIFS($B$47:$B$644,$A10,$A$47:$A$644,R$6)</x:f>
        <x:v>0</x:v>
      </x:c>
      <x:c r="S10" s="35" t="n">
        <x:f>COUNTIFS($B$47:$B$644,$A10,$A$47:$A$644,S$6)</x:f>
        <x:v>0</x:v>
      </x:c>
      <x:c r="T10" s="35" t="n">
        <x:f>COUNTIFS($B$47:$B$644,$A10,$A$47:$A$644,2021,$C$47:$C$644,"计算")</x:f>
        <x:v>0</x:v>
      </x:c>
      <x:c r="U10" s="35" t="n">
        <x:f>COUNTIFS($B$47:$B$644,$A10,$A$47:$A$644,2022,$C$47:$C$644,"计算")</x:f>
        <x:v>0</x:v>
      </x:c>
      <x:c r="V10" s="35" t="n">
        <x:f>COUNTIFS($B$47:$B$644,$A10,$A$47:$A$644,2023,$C$47:$C$644,"计算")</x:f>
        <x:v>0</x:v>
      </x:c>
      <x:c r="W10" s="35" t="n">
        <x:f>COUNTIFS($B$47:$B$644,$A10,$A$47:$A$644,2024,$C$47:$C$644,"计算")</x:f>
        <x:v>0</x:v>
      </x:c>
      <x:c r="X10" s="35" t="n">
        <x:f>COUNTIFS($B$47:$B$644,$A10,$A$47:$A$644,2025,$C$47:$C$644,"计算")</x:f>
        <x:v>0</x:v>
      </x:c>
    </x:row>
    <x:row r="11" ht="32" customHeight="1">
      <x:c r="A11" s="2" t="str">
        <x:v>F5</x:v>
      </x:c>
      <x:c r="B11" s="2" t="str">
        <x:v>测速管、孔板与转子流量计</x:v>
      </x:c>
      <x:c r="C11" s="35" t="n">
        <x:f>COUNTIFS($B$47:$B$644,$A11,$A$47:$A$644,C$6)</x:f>
        <x:v>1</x:v>
      </x:c>
      <x:c r="D11" s="35" t="n">
        <x:f>COUNTIFS($B$47:$B$644,$A11,$A$47:$A$644,D$6)</x:f>
        <x:v>0</x:v>
      </x:c>
      <x:c r="E11" s="35" t="n">
        <x:f>COUNTIFS($B$47:$B$644,$A11,$A$47:$A$644,E$6)</x:f>
        <x:v>0</x:v>
      </x:c>
      <x:c r="F11" s="35" t="n">
        <x:f>COUNTIFS($B$47:$B$644,$A11,$A$47:$A$644,F$6)</x:f>
        <x:v>0</x:v>
      </x:c>
      <x:c r="G11" s="35" t="n">
        <x:f>COUNTIFS($B$47:$B$644,$A11,$A$47:$A$644,G$6)</x:f>
        <x:v>1</x:v>
      </x:c>
      <x:c r="H11" s="35" t="n">
        <x:f>COUNTIFS($B$47:$B$644,$A11,$A$47:$A$644,H$6)</x:f>
        <x:v>0</x:v>
      </x:c>
      <x:c r="I11" s="35" t="n">
        <x:f>COUNTIFS($B$47:$B$644,$A11,$A$47:$A$644,I$6)</x:f>
        <x:v>0</x:v>
      </x:c>
      <x:c r="J11" s="35" t="n">
        <x:f>COUNTIFS($B$47:$B$644,$A11,$A$47:$A$644,J$6)</x:f>
        <x:v>1</x:v>
      </x:c>
      <x:c r="K11" s="35" t="n">
        <x:f>COUNTIFS($B$47:$B$644,$A11,$A$47:$A$644,K$6)</x:f>
        <x:v>1</x:v>
      </x:c>
      <x:c r="L11" s="35" t="n">
        <x:f>COUNTIFS($B$47:$B$644,$A11,$A$47:$A$644,L$6)</x:f>
        <x:v>1</x:v>
      </x:c>
      <x:c r="M11" s="35" t="n">
        <x:f>COUNTIFS($B$47:$B$644,$A11,$A$47:$A$644,M$6)</x:f>
        <x:v>0</x:v>
      </x:c>
      <x:c r="N11" s="35" t="n">
        <x:f>COUNTIFS($B$47:$B$644,$A11,$A$47:$A$644,N$6)</x:f>
        <x:v>0</x:v>
      </x:c>
      <x:c r="O11" s="35" t="n">
        <x:f>COUNTIFS($B$47:$B$644,$A11,$A$47:$A$644,O$6)</x:f>
        <x:v>0</x:v>
      </x:c>
      <x:c r="P11" s="35" t="n">
        <x:f>COUNTIFS($B$47:$B$644,$A11,$A$47:$A$644,P$6)</x:f>
        <x:v>1</x:v>
      </x:c>
      <x:c r="Q11" s="35" t="n">
        <x:f>COUNTIFS($B$47:$B$644,$A11,$A$47:$A$644,Q$6)</x:f>
        <x:v>0</x:v>
      </x:c>
      <x:c r="R11" s="35" t="n">
        <x:f>COUNTIFS($B$47:$B$644,$A11,$A$47:$A$644,R$6)</x:f>
        <x:v>1</x:v>
      </x:c>
      <x:c r="S11" s="35" t="n">
        <x:f>COUNTIFS($B$47:$B$644,$A11,$A$47:$A$644,S$6)</x:f>
        <x:v>0</x:v>
      </x:c>
      <x:c r="T11" s="35" t="n">
        <x:f>COUNTIFS($B$47:$B$644,$A11,$A$47:$A$644,2021,$C$47:$C$644,"计算")</x:f>
        <x:v>0</x:v>
      </x:c>
      <x:c r="U11" s="35" t="n">
        <x:f>COUNTIFS($B$47:$B$644,$A11,$A$47:$A$644,2022,$C$47:$C$644,"计算")</x:f>
        <x:v>0</x:v>
      </x:c>
      <x:c r="V11" s="35" t="n">
        <x:f>COUNTIFS($B$47:$B$644,$A11,$A$47:$A$644,2023,$C$47:$C$644,"计算")</x:f>
        <x:v>0</x:v>
      </x:c>
      <x:c r="W11" s="35" t="n">
        <x:f>COUNTIFS($B$47:$B$644,$A11,$A$47:$A$644,2024,$C$47:$C$644,"计算")</x:f>
        <x:v>0</x:v>
      </x:c>
      <x:c r="X11" s="35" t="n">
        <x:f>COUNTIFS($B$47:$B$644,$A11,$A$47:$A$644,2025,$C$47:$C$644,"计算")</x:f>
        <x:v>0</x:v>
      </x:c>
    </x:row>
    <x:row r="12" ht="32" customHeight="1">
      <x:c r="A12" s="2" t="str">
        <x:v>P1</x:v>
      </x:c>
      <x:c r="B12" s="2" t="str">
        <x:v>泵特性、工作点、调节与功率</x:v>
      </x:c>
      <x:c r="C12" s="35" t="n">
        <x:f>COUNTIFS($B$47:$B$644,$A12,$A$47:$A$644,C$6)</x:f>
        <x:v>1</x:v>
      </x:c>
      <x:c r="D12" s="35" t="n">
        <x:f>COUNTIFS($B$47:$B$644,$A12,$A$47:$A$644,D$6)</x:f>
        <x:v>1</x:v>
      </x:c>
      <x:c r="E12" s="35" t="n">
        <x:f>COUNTIFS($B$47:$B$644,$A12,$A$47:$A$644,E$6)</x:f>
        <x:v>1</x:v>
      </x:c>
      <x:c r="F12" s="35" t="n">
        <x:f>COUNTIFS($B$47:$B$644,$A12,$A$47:$A$644,F$6)</x:f>
        <x:v>1</x:v>
      </x:c>
      <x:c r="G12" s="35" t="n">
        <x:f>COUNTIFS($B$47:$B$644,$A12,$A$47:$A$644,G$6)</x:f>
        <x:v>2</x:v>
      </x:c>
      <x:c r="H12" s="35" t="n">
        <x:f>COUNTIFS($B$47:$B$644,$A12,$A$47:$A$644,H$6)</x:f>
        <x:v>2</x:v>
      </x:c>
      <x:c r="I12" s="35" t="n">
        <x:f>COUNTIFS($B$47:$B$644,$A12,$A$47:$A$644,I$6)</x:f>
        <x:v>2</x:v>
      </x:c>
      <x:c r="J12" s="35" t="n">
        <x:f>COUNTIFS($B$47:$B$644,$A12,$A$47:$A$644,J$6)</x:f>
        <x:v>1</x:v>
      </x:c>
      <x:c r="K12" s="35" t="n">
        <x:f>COUNTIFS($B$47:$B$644,$A12,$A$47:$A$644,K$6)</x:f>
        <x:v>2</x:v>
      </x:c>
      <x:c r="L12" s="35" t="n">
        <x:f>COUNTIFS($B$47:$B$644,$A12,$A$47:$A$644,L$6)</x:f>
        <x:v>2</x:v>
      </x:c>
      <x:c r="M12" s="35" t="n">
        <x:f>COUNTIFS($B$47:$B$644,$A12,$A$47:$A$644,M$6)</x:f>
        <x:v>1</x:v>
      </x:c>
      <x:c r="N12" s="35" t="n">
        <x:f>COUNTIFS($B$47:$B$644,$A12,$A$47:$A$644,N$6)</x:f>
        <x:v>2</x:v>
      </x:c>
      <x:c r="O12" s="35" t="n">
        <x:f>COUNTIFS($B$47:$B$644,$A12,$A$47:$A$644,O$6)</x:f>
        <x:v>4</x:v>
      </x:c>
      <x:c r="P12" s="35" t="n">
        <x:f>COUNTIFS($B$47:$B$644,$A12,$A$47:$A$644,P$6)</x:f>
        <x:v>2</x:v>
      </x:c>
      <x:c r="Q12" s="35" t="n">
        <x:f>COUNTIFS($B$47:$B$644,$A12,$A$47:$A$644,Q$6)</x:f>
        <x:v>2</x:v>
      </x:c>
      <x:c r="R12" s="35" t="n">
        <x:f>COUNTIFS($B$47:$B$644,$A12,$A$47:$A$644,R$6)</x:f>
        <x:v>2</x:v>
      </x:c>
      <x:c r="S12" s="35" t="n">
        <x:f>COUNTIFS($B$47:$B$644,$A12,$A$47:$A$644,S$6)</x:f>
        <x:v>1</x:v>
      </x:c>
      <x:c r="T12" s="35" t="n">
        <x:f>COUNTIFS($B$47:$B$644,$A12,$A$47:$A$644,2021,$C$47:$C$644,"计算")</x:f>
        <x:v>1</x:v>
      </x:c>
      <x:c r="U12" s="35" t="n">
        <x:f>COUNTIFS($B$47:$B$644,$A12,$A$47:$A$644,2022,$C$47:$C$644,"计算")</x:f>
        <x:v>1</x:v>
      </x:c>
      <x:c r="V12" s="35" t="n">
        <x:f>COUNTIFS($B$47:$B$644,$A12,$A$47:$A$644,2023,$C$47:$C$644,"计算")</x:f>
        <x:v>1</x:v>
      </x:c>
      <x:c r="W12" s="35" t="n">
        <x:f>COUNTIFS($B$47:$B$644,$A12,$A$47:$A$644,2024,$C$47:$C$644,"计算")</x:f>
        <x:v>1</x:v>
      </x:c>
      <x:c r="X12" s="35" t="n">
        <x:f>COUNTIFS($B$47:$B$644,$A12,$A$47:$A$644,2025,$C$47:$C$644,"计算")</x:f>
        <x:v>1</x:v>
      </x:c>
    </x:row>
    <x:row r="13" ht="32" customHeight="1">
      <x:c r="A13" s="2" t="str">
        <x:v>P2</x:v>
      </x:c>
      <x:c r="B13" s="2" t="str">
        <x:v>汽蚀、气缚、安装与开停</x:v>
      </x:c>
      <x:c r="C13" s="35" t="n">
        <x:f>COUNTIFS($B$47:$B$644,$A13,$A$47:$A$644,C$6)</x:f>
        <x:v>0</x:v>
      </x:c>
      <x:c r="D13" s="35" t="n">
        <x:f>COUNTIFS($B$47:$B$644,$A13,$A$47:$A$644,D$6)</x:f>
        <x:v>0</x:v>
      </x:c>
      <x:c r="E13" s="35" t="n">
        <x:f>COUNTIFS($B$47:$B$644,$A13,$A$47:$A$644,E$6)</x:f>
        <x:v>0</x:v>
      </x:c>
      <x:c r="F13" s="35" t="n">
        <x:f>COUNTIFS($B$47:$B$644,$A13,$A$47:$A$644,F$6)</x:f>
        <x:v>1</x:v>
      </x:c>
      <x:c r="G13" s="35" t="n">
        <x:f>COUNTIFS($B$47:$B$644,$A13,$A$47:$A$644,G$6)</x:f>
        <x:v>1</x:v>
      </x:c>
      <x:c r="H13" s="35" t="n">
        <x:f>COUNTIFS($B$47:$B$644,$A13,$A$47:$A$644,H$6)</x:f>
        <x:v>1</x:v>
      </x:c>
      <x:c r="I13" s="35" t="n">
        <x:f>COUNTIFS($B$47:$B$644,$A13,$A$47:$A$644,I$6)</x:f>
        <x:v>1</x:v>
      </x:c>
      <x:c r="J13" s="35" t="n">
        <x:f>COUNTIFS($B$47:$B$644,$A13,$A$47:$A$644,J$6)</x:f>
        <x:v>2</x:v>
      </x:c>
      <x:c r="K13" s="35" t="n">
        <x:f>COUNTIFS($B$47:$B$644,$A13,$A$47:$A$644,K$6)</x:f>
        <x:v>0</x:v>
      </x:c>
      <x:c r="L13" s="35" t="n">
        <x:f>COUNTIFS($B$47:$B$644,$A13,$A$47:$A$644,L$6)</x:f>
        <x:v>0</x:v>
      </x:c>
      <x:c r="M13" s="35" t="n">
        <x:f>COUNTIFS($B$47:$B$644,$A13,$A$47:$A$644,M$6)</x:f>
        <x:v>0</x:v>
      </x:c>
      <x:c r="N13" s="35" t="n">
        <x:f>COUNTIFS($B$47:$B$644,$A13,$A$47:$A$644,N$6)</x:f>
        <x:v>1</x:v>
      </x:c>
      <x:c r="O13" s="35" t="n">
        <x:f>COUNTIFS($B$47:$B$644,$A13,$A$47:$A$644,O$6)</x:f>
        <x:v>1</x:v>
      </x:c>
      <x:c r="P13" s="35" t="n">
        <x:f>COUNTIFS($B$47:$B$644,$A13,$A$47:$A$644,P$6)</x:f>
        <x:v>1</x:v>
      </x:c>
      <x:c r="Q13" s="35" t="n">
        <x:f>COUNTIFS($B$47:$B$644,$A13,$A$47:$A$644,Q$6)</x:f>
        <x:v>2</x:v>
      </x:c>
      <x:c r="R13" s="35" t="n">
        <x:f>COUNTIFS($B$47:$B$644,$A13,$A$47:$A$644,R$6)</x:f>
        <x:v>1</x:v>
      </x:c>
      <x:c r="S13" s="35" t="n">
        <x:f>COUNTIFS($B$47:$B$644,$A13,$A$47:$A$644,S$6)</x:f>
        <x:v>1</x:v>
      </x:c>
      <x:c r="T13" s="35" t="n">
        <x:f>COUNTIFS($B$47:$B$644,$A13,$A$47:$A$644,2021,$C$47:$C$644,"计算")</x:f>
        <x:v>1</x:v>
      </x:c>
      <x:c r="U13" s="35" t="n">
        <x:f>COUNTIFS($B$47:$B$644,$A13,$A$47:$A$644,2022,$C$47:$C$644,"计算")</x:f>
        <x:v>0</x:v>
      </x:c>
      <x:c r="V13" s="35" t="n">
        <x:f>COUNTIFS($B$47:$B$644,$A13,$A$47:$A$644,2023,$C$47:$C$644,"计算")</x:f>
        <x:v>0</x:v>
      </x:c>
      <x:c r="W13" s="35" t="n">
        <x:f>COUNTIFS($B$47:$B$644,$A13,$A$47:$A$644,2024,$C$47:$C$644,"计算")</x:f>
        <x:v>0</x:v>
      </x:c>
      <x:c r="X13" s="35" t="n">
        <x:f>COUNTIFS($B$47:$B$644,$A13,$A$47:$A$644,2025,$C$47:$C$644,"计算")</x:f>
        <x:v>0</x:v>
      </x:c>
    </x:row>
    <x:row r="14" ht="32" customHeight="1">
      <x:c r="A14" s="2" t="str">
        <x:v>S1</x:v>
      </x:c>
      <x:c r="B14" s="2" t="str">
        <x:v>颗粒粒径、沉降与降尘室</x:v>
      </x:c>
      <x:c r="C14" s="35" t="n">
        <x:f>COUNTIFS($B$47:$B$644,$A14,$A$47:$A$644,C$6)</x:f>
        <x:v>0</x:v>
      </x:c>
      <x:c r="D14" s="35" t="n">
        <x:f>COUNTIFS($B$47:$B$644,$A14,$A$47:$A$644,D$6)</x:f>
        <x:v>1</x:v>
      </x:c>
      <x:c r="E14" s="35" t="n">
        <x:f>COUNTIFS($B$47:$B$644,$A14,$A$47:$A$644,E$6)</x:f>
        <x:v>1</x:v>
      </x:c>
      <x:c r="F14" s="35" t="n">
        <x:f>COUNTIFS($B$47:$B$644,$A14,$A$47:$A$644,F$6)</x:f>
        <x:v>1</x:v>
      </x:c>
      <x:c r="G14" s="35" t="n">
        <x:f>COUNTIFS($B$47:$B$644,$A14,$A$47:$A$644,G$6)</x:f>
        <x:v>1</x:v>
      </x:c>
      <x:c r="H14" s="35" t="n">
        <x:f>COUNTIFS($B$47:$B$644,$A14,$A$47:$A$644,H$6)</x:f>
        <x:v>1</x:v>
      </x:c>
      <x:c r="I14" s="35" t="n">
        <x:f>COUNTIFS($B$47:$B$644,$A14,$A$47:$A$644,I$6)</x:f>
        <x:v>0</x:v>
      </x:c>
      <x:c r="J14" s="35" t="n">
        <x:f>COUNTIFS($B$47:$B$644,$A14,$A$47:$A$644,J$6)</x:f>
        <x:v>1</x:v>
      </x:c>
      <x:c r="K14" s="35" t="n">
        <x:f>COUNTIFS($B$47:$B$644,$A14,$A$47:$A$644,K$6)</x:f>
        <x:v>0</x:v>
      </x:c>
      <x:c r="L14" s="35" t="n">
        <x:f>COUNTIFS($B$47:$B$644,$A14,$A$47:$A$644,L$6)</x:f>
        <x:v>2</x:v>
      </x:c>
      <x:c r="M14" s="35" t="n">
        <x:f>COUNTIFS($B$47:$B$644,$A14,$A$47:$A$644,M$6)</x:f>
        <x:v>2</x:v>
      </x:c>
      <x:c r="N14" s="35" t="n">
        <x:f>COUNTIFS($B$47:$B$644,$A14,$A$47:$A$644,N$6)</x:f>
        <x:v>2</x:v>
      </x:c>
      <x:c r="O14" s="35" t="n">
        <x:f>COUNTIFS($B$47:$B$644,$A14,$A$47:$A$644,O$6)</x:f>
        <x:v>0</x:v>
      </x:c>
      <x:c r="P14" s="35" t="n">
        <x:f>COUNTIFS($B$47:$B$644,$A14,$A$47:$A$644,P$6)</x:f>
        <x:v>2</x:v>
      </x:c>
      <x:c r="Q14" s="35" t="n">
        <x:f>COUNTIFS($B$47:$B$644,$A14,$A$47:$A$644,Q$6)</x:f>
        <x:v>1</x:v>
      </x:c>
      <x:c r="R14" s="35" t="n">
        <x:f>COUNTIFS($B$47:$B$644,$A14,$A$47:$A$644,R$6)</x:f>
        <x:v>1</x:v>
      </x:c>
      <x:c r="S14" s="35" t="n">
        <x:f>COUNTIFS($B$47:$B$644,$A14,$A$47:$A$644,S$6)</x:f>
        <x:v>0</x:v>
      </x:c>
      <x:c r="T14" s="35" t="n">
        <x:f>COUNTIFS($B$47:$B$644,$A14,$A$47:$A$644,2021,$C$47:$C$644,"计算")</x:f>
        <x:v>0</x:v>
      </x:c>
      <x:c r="U14" s="35" t="n">
        <x:f>COUNTIFS($B$47:$B$644,$A14,$A$47:$A$644,2022,$C$47:$C$644,"计算")</x:f>
        <x:v>0</x:v>
      </x:c>
      <x:c r="V14" s="35" t="n">
        <x:f>COUNTIFS($B$47:$B$644,$A14,$A$47:$A$644,2023,$C$47:$C$644,"计算")</x:f>
        <x:v>0</x:v>
      </x:c>
      <x:c r="W14" s="35" t="n">
        <x:f>COUNTIFS($B$47:$B$644,$A14,$A$47:$A$644,2024,$C$47:$C$644,"计算")</x:f>
        <x:v>0</x:v>
      </x:c>
      <x:c r="X14" s="35" t="n">
        <x:f>COUNTIFS($B$47:$B$644,$A14,$A$47:$A$644,2025,$C$47:$C$644,"计算")</x:f>
        <x:v>0</x:v>
      </x:c>
    </x:row>
    <x:row r="15" ht="32" customHeight="1">
      <x:c r="A15" s="2" t="str">
        <x:v>S2</x:v>
      </x:c>
      <x:c r="B15" s="2" t="str">
        <x:v>旋风分离器与离心分离</x:v>
      </x:c>
      <x:c r="C15" s="35" t="n">
        <x:f>COUNTIFS($B$47:$B$644,$A15,$A$47:$A$644,C$6)</x:f>
        <x:v>0</x:v>
      </x:c>
      <x:c r="D15" s="35" t="n">
        <x:f>COUNTIFS($B$47:$B$644,$A15,$A$47:$A$644,D$6)</x:f>
        <x:v>1</x:v>
      </x:c>
      <x:c r="E15" s="35" t="n">
        <x:f>COUNTIFS($B$47:$B$644,$A15,$A$47:$A$644,E$6)</x:f>
        <x:v>0</x:v>
      </x:c>
      <x:c r="F15" s="35" t="n">
        <x:f>COUNTIFS($B$47:$B$644,$A15,$A$47:$A$644,F$6)</x:f>
        <x:v>0</x:v>
      </x:c>
      <x:c r="G15" s="35" t="n">
        <x:f>COUNTIFS($B$47:$B$644,$A15,$A$47:$A$644,G$6)</x:f>
        <x:v>0</x:v>
      </x:c>
      <x:c r="H15" s="35" t="n">
        <x:f>COUNTIFS($B$47:$B$644,$A15,$A$47:$A$644,H$6)</x:f>
        <x:v>0</x:v>
      </x:c>
      <x:c r="I15" s="35" t="n">
        <x:f>COUNTIFS($B$47:$B$644,$A15,$A$47:$A$644,I$6)</x:f>
        <x:v>1</x:v>
      </x:c>
      <x:c r="J15" s="35" t="n">
        <x:f>COUNTIFS($B$47:$B$644,$A15,$A$47:$A$644,J$6)</x:f>
        <x:v>0</x:v>
      </x:c>
      <x:c r="K15" s="35" t="n">
        <x:f>COUNTIFS($B$47:$B$644,$A15,$A$47:$A$644,K$6)</x:f>
        <x:v>1</x:v>
      </x:c>
      <x:c r="L15" s="35" t="n">
        <x:f>COUNTIFS($B$47:$B$644,$A15,$A$47:$A$644,L$6)</x:f>
        <x:v>1</x:v>
      </x:c>
      <x:c r="M15" s="35" t="n">
        <x:f>COUNTIFS($B$47:$B$644,$A15,$A$47:$A$644,M$6)</x:f>
        <x:v>0</x:v>
      </x:c>
      <x:c r="N15" s="35" t="n">
        <x:f>COUNTIFS($B$47:$B$644,$A15,$A$47:$A$644,N$6)</x:f>
        <x:v>0</x:v>
      </x:c>
      <x:c r="O15" s="35" t="n">
        <x:f>COUNTIFS($B$47:$B$644,$A15,$A$47:$A$644,O$6)</x:f>
        <x:v>0</x:v>
      </x:c>
      <x:c r="P15" s="35" t="n">
        <x:f>COUNTIFS($B$47:$B$644,$A15,$A$47:$A$644,P$6)</x:f>
        <x:v>0</x:v>
      </x:c>
      <x:c r="Q15" s="35" t="n">
        <x:f>COUNTIFS($B$47:$B$644,$A15,$A$47:$A$644,Q$6)</x:f>
        <x:v>2</x:v>
      </x:c>
      <x:c r="R15" s="35" t="n">
        <x:f>COUNTIFS($B$47:$B$644,$A15,$A$47:$A$644,R$6)</x:f>
        <x:v>0</x:v>
      </x:c>
      <x:c r="S15" s="35" t="n">
        <x:f>COUNTIFS($B$47:$B$644,$A15,$A$47:$A$644,S$6)</x:f>
        <x:v>1</x:v>
      </x:c>
      <x:c r="T15" s="35" t="n">
        <x:f>COUNTIFS($B$47:$B$644,$A15,$A$47:$A$644,2021,$C$47:$C$644,"计算")</x:f>
        <x:v>0</x:v>
      </x:c>
      <x:c r="U15" s="35" t="n">
        <x:f>COUNTIFS($B$47:$B$644,$A15,$A$47:$A$644,2022,$C$47:$C$644,"计算")</x:f>
        <x:v>0</x:v>
      </x:c>
      <x:c r="V15" s="35" t="n">
        <x:f>COUNTIFS($B$47:$B$644,$A15,$A$47:$A$644,2023,$C$47:$C$644,"计算")</x:f>
        <x:v>0</x:v>
      </x:c>
      <x:c r="W15" s="35" t="n">
        <x:f>COUNTIFS($B$47:$B$644,$A15,$A$47:$A$644,2024,$C$47:$C$644,"计算")</x:f>
        <x:v>0</x:v>
      </x:c>
      <x:c r="X15" s="35" t="n">
        <x:f>COUNTIFS($B$47:$B$644,$A15,$A$47:$A$644,2025,$C$47:$C$644,"计算")</x:f>
        <x:v>0</x:v>
      </x:c>
    </x:row>
    <x:row r="16" ht="32" customHeight="1">
      <x:c r="A16" s="2" t="str">
        <x:v>S3</x:v>
      </x:c>
      <x:c r="B16" s="2" t="str">
        <x:v>过滤方程与过滤常数</x:v>
      </x:c>
      <x:c r="C16" s="35" t="n">
        <x:f>COUNTIFS($B$47:$B$644,$A16,$A$47:$A$644,C$6)</x:f>
        <x:v>1</x:v>
      </x:c>
      <x:c r="D16" s="35" t="n">
        <x:f>COUNTIFS($B$47:$B$644,$A16,$A$47:$A$644,D$6)</x:f>
        <x:v>1</x:v>
      </x:c>
      <x:c r="E16" s="35" t="n">
        <x:f>COUNTIFS($B$47:$B$644,$A16,$A$47:$A$644,E$6)</x:f>
        <x:v>1</x:v>
      </x:c>
      <x:c r="F16" s="35" t="n">
        <x:f>COUNTIFS($B$47:$B$644,$A16,$A$47:$A$644,F$6)</x:f>
        <x:v>1</x:v>
      </x:c>
      <x:c r="G16" s="35" t="n">
        <x:f>COUNTIFS($B$47:$B$644,$A16,$A$47:$A$644,G$6)</x:f>
        <x:v>1</x:v>
      </x:c>
      <x:c r="H16" s="35" t="n">
        <x:f>COUNTIFS($B$47:$B$644,$A16,$A$47:$A$644,H$6)</x:f>
        <x:v>1</x:v>
      </x:c>
      <x:c r="I16" s="35" t="n">
        <x:f>COUNTIFS($B$47:$B$644,$A16,$A$47:$A$644,I$6)</x:f>
        <x:v>1</x:v>
      </x:c>
      <x:c r="J16" s="35" t="n">
        <x:f>COUNTIFS($B$47:$B$644,$A16,$A$47:$A$644,J$6)</x:f>
        <x:v>2</x:v>
      </x:c>
      <x:c r="K16" s="35" t="n">
        <x:f>COUNTIFS($B$47:$B$644,$A16,$A$47:$A$644,K$6)</x:f>
        <x:v>2</x:v>
      </x:c>
      <x:c r="L16" s="35" t="n">
        <x:f>COUNTIFS($B$47:$B$644,$A16,$A$47:$A$644,L$6)</x:f>
        <x:v>2</x:v>
      </x:c>
      <x:c r="M16" s="35" t="n">
        <x:f>COUNTIFS($B$47:$B$644,$A16,$A$47:$A$644,M$6)</x:f>
        <x:v>1</x:v>
      </x:c>
      <x:c r="N16" s="35" t="n">
        <x:f>COUNTIFS($B$47:$B$644,$A16,$A$47:$A$644,N$6)</x:f>
        <x:v>1</x:v>
      </x:c>
      <x:c r="O16" s="35" t="n">
        <x:f>COUNTIFS($B$47:$B$644,$A16,$A$47:$A$644,O$6)</x:f>
        <x:v>1</x:v>
      </x:c>
      <x:c r="P16" s="35" t="n">
        <x:f>COUNTIFS($B$47:$B$644,$A16,$A$47:$A$644,P$6)</x:f>
        <x:v>2</x:v>
      </x:c>
      <x:c r="Q16" s="35" t="n">
        <x:f>COUNTIFS($B$47:$B$644,$A16,$A$47:$A$644,Q$6)</x:f>
        <x:v>2</x:v>
      </x:c>
      <x:c r="R16" s="35" t="n">
        <x:f>COUNTIFS($B$47:$B$644,$A16,$A$47:$A$644,R$6)</x:f>
        <x:v>1</x:v>
      </x:c>
      <x:c r="S16" s="35" t="n">
        <x:f>COUNTIFS($B$47:$B$644,$A16,$A$47:$A$644,S$6)</x:f>
        <x:v>1</x:v>
      </x:c>
      <x:c r="T16" s="35" t="n">
        <x:f>COUNTIFS($B$47:$B$644,$A16,$A$47:$A$644,2021,$C$47:$C$644,"计算")</x:f>
        <x:v>1</x:v>
      </x:c>
      <x:c r="U16" s="35" t="n">
        <x:f>COUNTIFS($B$47:$B$644,$A16,$A$47:$A$644,2022,$C$47:$C$644,"计算")</x:f>
        <x:v>1</x:v>
      </x:c>
      <x:c r="V16" s="35" t="n">
        <x:f>COUNTIFS($B$47:$B$644,$A16,$A$47:$A$644,2023,$C$47:$C$644,"计算")</x:f>
        <x:v>0</x:v>
      </x:c>
      <x:c r="W16" s="35" t="n">
        <x:f>COUNTIFS($B$47:$B$644,$A16,$A$47:$A$644,2024,$C$47:$C$644,"计算")</x:f>
        <x:v>1</x:v>
      </x:c>
      <x:c r="X16" s="35" t="n">
        <x:f>COUNTIFS($B$47:$B$644,$A16,$A$47:$A$644,2025,$C$47:$C$644,"计算")</x:f>
        <x:v>1</x:v>
      </x:c>
    </x:row>
    <x:row r="17" ht="32" customHeight="1">
      <x:c r="A17" s="2" t="str">
        <x:v>S4</x:v>
      </x:c>
      <x:c r="B17" s="2" t="str">
        <x:v>洗涤、板框 / 转筒与生产能力</x:v>
      </x:c>
      <x:c r="C17" s="35" t="n">
        <x:f>COUNTIFS($B$47:$B$644,$A17,$A$47:$A$644,C$6)</x:f>
        <x:v>1</x:v>
      </x:c>
      <x:c r="D17" s="35" t="n">
        <x:f>COUNTIFS($B$47:$B$644,$A17,$A$47:$A$644,D$6)</x:f>
        <x:v>0</x:v>
      </x:c>
      <x:c r="E17" s="35" t="n">
        <x:f>COUNTIFS($B$47:$B$644,$A17,$A$47:$A$644,E$6)</x:f>
        <x:v>1</x:v>
      </x:c>
      <x:c r="F17" s="35" t="n">
        <x:f>COUNTIFS($B$47:$B$644,$A17,$A$47:$A$644,F$6)</x:f>
        <x:v>1</x:v>
      </x:c>
      <x:c r="G17" s="35" t="n">
        <x:f>COUNTIFS($B$47:$B$644,$A17,$A$47:$A$644,G$6)</x:f>
        <x:v>1</x:v>
      </x:c>
      <x:c r="H17" s="35" t="n">
        <x:f>COUNTIFS($B$47:$B$644,$A17,$A$47:$A$644,H$6)</x:f>
        <x:v>1</x:v>
      </x:c>
      <x:c r="I17" s="35" t="n">
        <x:f>COUNTIFS($B$47:$B$644,$A17,$A$47:$A$644,I$6)</x:f>
        <x:v>1</x:v>
      </x:c>
      <x:c r="J17" s="35" t="n">
        <x:f>COUNTIFS($B$47:$B$644,$A17,$A$47:$A$644,J$6)</x:f>
        <x:v>2</x:v>
      </x:c>
      <x:c r="K17" s="35" t="n">
        <x:f>COUNTIFS($B$47:$B$644,$A17,$A$47:$A$644,K$6)</x:f>
        <x:v>1</x:v>
      </x:c>
      <x:c r="L17" s="35" t="n">
        <x:f>COUNTIFS($B$47:$B$644,$A17,$A$47:$A$644,L$6)</x:f>
        <x:v>1</x:v>
      </x:c>
      <x:c r="M17" s="35" t="n">
        <x:f>COUNTIFS($B$47:$B$644,$A17,$A$47:$A$644,M$6)</x:f>
        <x:v>2</x:v>
      </x:c>
      <x:c r="N17" s="35" t="n">
        <x:f>COUNTIFS($B$47:$B$644,$A17,$A$47:$A$644,N$6)</x:f>
        <x:v>2</x:v>
      </x:c>
      <x:c r="O17" s="35" t="n">
        <x:f>COUNTIFS($B$47:$B$644,$A17,$A$47:$A$644,O$6)</x:f>
        <x:v>1</x:v>
      </x:c>
      <x:c r="P17" s="35" t="n">
        <x:f>COUNTIFS($B$47:$B$644,$A17,$A$47:$A$644,P$6)</x:f>
        <x:v>1</x:v>
      </x:c>
      <x:c r="Q17" s="35" t="n">
        <x:f>COUNTIFS($B$47:$B$644,$A17,$A$47:$A$644,Q$6)</x:f>
        <x:v>1</x:v>
      </x:c>
      <x:c r="R17" s="35" t="n">
        <x:f>COUNTIFS($B$47:$B$644,$A17,$A$47:$A$644,R$6)</x:f>
        <x:v>1</x:v>
      </x:c>
      <x:c r="S17" s="35" t="n">
        <x:f>COUNTIFS($B$47:$B$644,$A17,$A$47:$A$644,S$6)</x:f>
        <x:v>1</x:v>
      </x:c>
      <x:c r="T17" s="35" t="n">
        <x:f>COUNTIFS($B$47:$B$644,$A17,$A$47:$A$644,2021,$C$47:$C$644,"计算")</x:f>
        <x:v>1</x:v>
      </x:c>
      <x:c r="U17" s="35" t="n">
        <x:f>COUNTIFS($B$47:$B$644,$A17,$A$47:$A$644,2022,$C$47:$C$644,"计算")</x:f>
        <x:v>1</x:v>
      </x:c>
      <x:c r="V17" s="35" t="n">
        <x:f>COUNTIFS($B$47:$B$644,$A17,$A$47:$A$644,2023,$C$47:$C$644,"计算")</x:f>
        <x:v>0</x:v>
      </x:c>
      <x:c r="W17" s="35" t="n">
        <x:f>COUNTIFS($B$47:$B$644,$A17,$A$47:$A$644,2024,$C$47:$C$644,"计算")</x:f>
        <x:v>1</x:v>
      </x:c>
      <x:c r="X17" s="35" t="n">
        <x:f>COUNTIFS($B$47:$B$644,$A17,$A$47:$A$644,2025,$C$47:$C$644,"计算")</x:f>
        <x:v>1</x:v>
      </x:c>
    </x:row>
    <x:row r="18" ht="32" customHeight="1">
      <x:c r="A18" s="2" t="str">
        <x:v>B1</x:v>
      </x:c>
      <x:c r="B18" s="2" t="str">
        <x:v>床层压降、流化状态与异常</x:v>
      </x:c>
      <x:c r="C18" s="35" t="n">
        <x:f>COUNTIFS($B$47:$B$644,$A18,$A$47:$A$644,C$6)</x:f>
        <x:v>1</x:v>
      </x:c>
      <x:c r="D18" s="35" t="n">
        <x:f>COUNTIFS($B$47:$B$644,$A18,$A$47:$A$644,D$6)</x:f>
        <x:v>1</x:v>
      </x:c>
      <x:c r="E18" s="35" t="n">
        <x:f>COUNTIFS($B$47:$B$644,$A18,$A$47:$A$644,E$6)</x:f>
        <x:v>1</x:v>
      </x:c>
      <x:c r="F18" s="35" t="n">
        <x:f>COUNTIFS($B$47:$B$644,$A18,$A$47:$A$644,F$6)</x:f>
        <x:v>1</x:v>
      </x:c>
      <x:c r="G18" s="35" t="n">
        <x:f>COUNTIFS($B$47:$B$644,$A18,$A$47:$A$644,G$6)</x:f>
        <x:v>1</x:v>
      </x:c>
      <x:c r="H18" s="35" t="n">
        <x:f>COUNTIFS($B$47:$B$644,$A18,$A$47:$A$644,H$6)</x:f>
        <x:v>1</x:v>
      </x:c>
      <x:c r="I18" s="35" t="n">
        <x:f>COUNTIFS($B$47:$B$644,$A18,$A$47:$A$644,I$6)</x:f>
        <x:v>1</x:v>
      </x:c>
      <x:c r="J18" s="35" t="n">
        <x:f>COUNTIFS($B$47:$B$644,$A18,$A$47:$A$644,J$6)</x:f>
        <x:v>1</x:v>
      </x:c>
      <x:c r="K18" s="35" t="n">
        <x:f>COUNTIFS($B$47:$B$644,$A18,$A$47:$A$644,K$6)</x:f>
        <x:v>1</x:v>
      </x:c>
      <x:c r="L18" s="35" t="n">
        <x:f>COUNTIFS($B$47:$B$644,$A18,$A$47:$A$644,L$6)</x:f>
        <x:v>1</x:v>
      </x:c>
      <x:c r="M18" s="35" t="n">
        <x:f>COUNTIFS($B$47:$B$644,$A18,$A$47:$A$644,M$6)</x:f>
        <x:v>0</x:v>
      </x:c>
      <x:c r="N18" s="35" t="n">
        <x:f>COUNTIFS($B$47:$B$644,$A18,$A$47:$A$644,N$6)</x:f>
        <x:v>1</x:v>
      </x:c>
      <x:c r="O18" s="35" t="n">
        <x:f>COUNTIFS($B$47:$B$644,$A18,$A$47:$A$644,O$6)</x:f>
        <x:v>0</x:v>
      </x:c>
      <x:c r="P18" s="35" t="n">
        <x:f>COUNTIFS($B$47:$B$644,$A18,$A$47:$A$644,P$6)</x:f>
        <x:v>0</x:v>
      </x:c>
      <x:c r="Q18" s="35" t="n">
        <x:f>COUNTIFS($B$47:$B$644,$A18,$A$47:$A$644,Q$6)</x:f>
        <x:v>0</x:v>
      </x:c>
      <x:c r="R18" s="35" t="n">
        <x:f>COUNTIFS($B$47:$B$644,$A18,$A$47:$A$644,R$6)</x:f>
        <x:v>0</x:v>
      </x:c>
      <x:c r="S18" s="35" t="n">
        <x:f>COUNTIFS($B$47:$B$644,$A18,$A$47:$A$644,S$6)</x:f>
        <x:v>0</x:v>
      </x:c>
      <x:c r="T18" s="35" t="n">
        <x:f>COUNTIFS($B$47:$B$644,$A18,$A$47:$A$644,2021,$C$47:$C$644,"计算")</x:f>
        <x:v>0</x:v>
      </x:c>
      <x:c r="U18" s="35" t="n">
        <x:f>COUNTIFS($B$47:$B$644,$A18,$A$47:$A$644,2022,$C$47:$C$644,"计算")</x:f>
        <x:v>0</x:v>
      </x:c>
      <x:c r="V18" s="35" t="n">
        <x:f>COUNTIFS($B$47:$B$644,$A18,$A$47:$A$644,2023,$C$47:$C$644,"计算")</x:f>
        <x:v>0</x:v>
      </x:c>
      <x:c r="W18" s="35" t="n">
        <x:f>COUNTIFS($B$47:$B$644,$A18,$A$47:$A$644,2024,$C$47:$C$644,"计算")</x:f>
        <x:v>0</x:v>
      </x:c>
      <x:c r="X18" s="35" t="n">
        <x:f>COUNTIFS($B$47:$B$644,$A18,$A$47:$A$644,2025,$C$47:$C$644,"计算")</x:f>
        <x:v>0</x:v>
      </x:c>
    </x:row>
    <x:row r="19" ht="32" customHeight="1">
      <x:c r="A19" s="2" t="str">
        <x:v>H1</x:v>
      </x:c>
      <x:c r="B19" s="2" t="str">
        <x:v>导热、保温与临界直径</x:v>
      </x:c>
      <x:c r="C19" s="35" t="n">
        <x:f>COUNTIFS($B$47:$B$644,$A19,$A$47:$A$644,C$6)</x:f>
        <x:v>0</x:v>
      </x:c>
      <x:c r="D19" s="35" t="n">
        <x:f>COUNTIFS($B$47:$B$644,$A19,$A$47:$A$644,D$6)</x:f>
        <x:v>1</x:v>
      </x:c>
      <x:c r="E19" s="35" t="n">
        <x:f>COUNTIFS($B$47:$B$644,$A19,$A$47:$A$644,E$6)</x:f>
        <x:v>1</x:v>
      </x:c>
      <x:c r="F19" s="35" t="n">
        <x:f>COUNTIFS($B$47:$B$644,$A19,$A$47:$A$644,F$6)</x:f>
        <x:v>0</x:v>
      </x:c>
      <x:c r="G19" s="35" t="n">
        <x:f>COUNTIFS($B$47:$B$644,$A19,$A$47:$A$644,G$6)</x:f>
        <x:v>1</x:v>
      </x:c>
      <x:c r="H19" s="35" t="n">
        <x:f>COUNTIFS($B$47:$B$644,$A19,$A$47:$A$644,H$6)</x:f>
        <x:v>0</x:v>
      </x:c>
      <x:c r="I19" s="35" t="n">
        <x:f>COUNTIFS($B$47:$B$644,$A19,$A$47:$A$644,I$6)</x:f>
        <x:v>1</x:v>
      </x:c>
      <x:c r="J19" s="35" t="n">
        <x:f>COUNTIFS($B$47:$B$644,$A19,$A$47:$A$644,J$6)</x:f>
        <x:v>1</x:v>
      </x:c>
      <x:c r="K19" s="35" t="n">
        <x:f>COUNTIFS($B$47:$B$644,$A19,$A$47:$A$644,K$6)</x:f>
        <x:v>0</x:v>
      </x:c>
      <x:c r="L19" s="35" t="n">
        <x:f>COUNTIFS($B$47:$B$644,$A19,$A$47:$A$644,L$6)</x:f>
        <x:v>0</x:v>
      </x:c>
      <x:c r="M19" s="35" t="n">
        <x:f>COUNTIFS($B$47:$B$644,$A19,$A$47:$A$644,M$6)</x:f>
        <x:v>3</x:v>
      </x:c>
      <x:c r="N19" s="35" t="n">
        <x:f>COUNTIFS($B$47:$B$644,$A19,$A$47:$A$644,N$6)</x:f>
        <x:v>0</x:v>
      </x:c>
      <x:c r="O19" s="35" t="n">
        <x:f>COUNTIFS($B$47:$B$644,$A19,$A$47:$A$644,O$6)</x:f>
        <x:v>1</x:v>
      </x:c>
      <x:c r="P19" s="35" t="n">
        <x:f>COUNTIFS($B$47:$B$644,$A19,$A$47:$A$644,P$6)</x:f>
        <x:v>0</x:v>
      </x:c>
      <x:c r="Q19" s="35" t="n">
        <x:f>COUNTIFS($B$47:$B$644,$A19,$A$47:$A$644,Q$6)</x:f>
        <x:v>3</x:v>
      </x:c>
      <x:c r="R19" s="35" t="n">
        <x:f>COUNTIFS($B$47:$B$644,$A19,$A$47:$A$644,R$6)</x:f>
        <x:v>0</x:v>
      </x:c>
      <x:c r="S19" s="35" t="n">
        <x:f>COUNTIFS($B$47:$B$644,$A19,$A$47:$A$644,S$6)</x:f>
        <x:v>1</x:v>
      </x:c>
      <x:c r="T19" s="35" t="n">
        <x:f>COUNTIFS($B$47:$B$644,$A19,$A$47:$A$644,2021,$C$47:$C$644,"计算")</x:f>
        <x:v>0</x:v>
      </x:c>
      <x:c r="U19" s="35" t="n">
        <x:f>COUNTIFS($B$47:$B$644,$A19,$A$47:$A$644,2022,$C$47:$C$644,"计算")</x:f>
        <x:v>0</x:v>
      </x:c>
      <x:c r="V19" s="35" t="n">
        <x:f>COUNTIFS($B$47:$B$644,$A19,$A$47:$A$644,2023,$C$47:$C$644,"计算")</x:f>
        <x:v>0</x:v>
      </x:c>
      <x:c r="W19" s="35" t="n">
        <x:f>COUNTIFS($B$47:$B$644,$A19,$A$47:$A$644,2024,$C$47:$C$644,"计算")</x:f>
        <x:v>0</x:v>
      </x:c>
      <x:c r="X19" s="35" t="n">
        <x:f>COUNTIFS($B$47:$B$644,$A19,$A$47:$A$644,2025,$C$47:$C$644,"计算")</x:f>
        <x:v>0</x:v>
      </x:c>
    </x:row>
    <x:row r="20" ht="32" customHeight="1">
      <x:c r="A20" s="2" t="str">
        <x:v>H2</x:v>
      </x:c>
      <x:c r="B20" s="2" t="str">
        <x:v>对流传热、准数与膜系数</x:v>
      </x:c>
      <x:c r="C20" s="35" t="n">
        <x:f>COUNTIFS($B$47:$B$644,$A20,$A$47:$A$644,C$6)</x:f>
        <x:v>1</x:v>
      </x:c>
      <x:c r="D20" s="35" t="n">
        <x:f>COUNTIFS($B$47:$B$644,$A20,$A$47:$A$644,D$6)</x:f>
        <x:v>1</x:v>
      </x:c>
      <x:c r="E20" s="35" t="n">
        <x:f>COUNTIFS($B$47:$B$644,$A20,$A$47:$A$644,E$6)</x:f>
        <x:v>2</x:v>
      </x:c>
      <x:c r="F20" s="35" t="n">
        <x:f>COUNTIFS($B$47:$B$644,$A20,$A$47:$A$644,F$6)</x:f>
        <x:v>2</x:v>
      </x:c>
      <x:c r="G20" s="35" t="n">
        <x:f>COUNTIFS($B$47:$B$644,$A20,$A$47:$A$644,G$6)</x:f>
        <x:v>0</x:v>
      </x:c>
      <x:c r="H20" s="35" t="n">
        <x:f>COUNTIFS($B$47:$B$644,$A20,$A$47:$A$644,H$6)</x:f>
        <x:v>1</x:v>
      </x:c>
      <x:c r="I20" s="35" t="n">
        <x:f>COUNTIFS($B$47:$B$644,$A20,$A$47:$A$644,I$6)</x:f>
        <x:v>2</x:v>
      </x:c>
      <x:c r="J20" s="35" t="n">
        <x:f>COUNTIFS($B$47:$B$644,$A20,$A$47:$A$644,J$6)</x:f>
        <x:v>1</x:v>
      </x:c>
      <x:c r="K20" s="35" t="n">
        <x:f>COUNTIFS($B$47:$B$644,$A20,$A$47:$A$644,K$6)</x:f>
        <x:v>1</x:v>
      </x:c>
      <x:c r="L20" s="35" t="n">
        <x:f>COUNTIFS($B$47:$B$644,$A20,$A$47:$A$644,L$6)</x:f>
        <x:v>1</x:v>
      </x:c>
      <x:c r="M20" s="35" t="n">
        <x:f>COUNTIFS($B$47:$B$644,$A20,$A$47:$A$644,M$6)</x:f>
        <x:v>1</x:v>
      </x:c>
      <x:c r="N20" s="35" t="n">
        <x:f>COUNTIFS($B$47:$B$644,$A20,$A$47:$A$644,N$6)</x:f>
        <x:v>2</x:v>
      </x:c>
      <x:c r="O20" s="35" t="n">
        <x:f>COUNTIFS($B$47:$B$644,$A20,$A$47:$A$644,O$6)</x:f>
        <x:v>1</x:v>
      </x:c>
      <x:c r="P20" s="35" t="n">
        <x:f>COUNTIFS($B$47:$B$644,$A20,$A$47:$A$644,P$6)</x:f>
        <x:v>2</x:v>
      </x:c>
      <x:c r="Q20" s="35" t="n">
        <x:f>COUNTIFS($B$47:$B$644,$A20,$A$47:$A$644,Q$6)</x:f>
        <x:v>3</x:v>
      </x:c>
      <x:c r="R20" s="35" t="n">
        <x:f>COUNTIFS($B$47:$B$644,$A20,$A$47:$A$644,R$6)</x:f>
        <x:v>3</x:v>
      </x:c>
      <x:c r="S20" s="35" t="n">
        <x:f>COUNTIFS($B$47:$B$644,$A20,$A$47:$A$644,S$6)</x:f>
        <x:v>1</x:v>
      </x:c>
      <x:c r="T20" s="35" t="n">
        <x:f>COUNTIFS($B$47:$B$644,$A20,$A$47:$A$644,2021,$C$47:$C$644,"计算")</x:f>
        <x:v>1</x:v>
      </x:c>
      <x:c r="U20" s="35" t="n">
        <x:f>COUNTIFS($B$47:$B$644,$A20,$A$47:$A$644,2022,$C$47:$C$644,"计算")</x:f>
        <x:v>1</x:v>
      </x:c>
      <x:c r="V20" s="35" t="n">
        <x:f>COUNTIFS($B$47:$B$644,$A20,$A$47:$A$644,2023,$C$47:$C$644,"计算")</x:f>
        <x:v>1</x:v>
      </x:c>
      <x:c r="W20" s="35" t="n">
        <x:f>COUNTIFS($B$47:$B$644,$A20,$A$47:$A$644,2024,$C$47:$C$644,"计算")</x:f>
        <x:v>1</x:v>
      </x:c>
      <x:c r="X20" s="35" t="n">
        <x:f>COUNTIFS($B$47:$B$644,$A20,$A$47:$A$644,2025,$C$47:$C$644,"计算")</x:f>
        <x:v>0</x:v>
      </x:c>
    </x:row>
    <x:row r="21" ht="32" customHeight="1">
      <x:c r="A21" s="2" t="str">
        <x:v>H3</x:v>
      </x:c>
      <x:c r="B21" s="2" t="str">
        <x:v>总传热系数、热阻与壁温</x:v>
      </x:c>
      <x:c r="C21" s="35" t="n">
        <x:f>COUNTIFS($B$47:$B$644,$A21,$A$47:$A$644,C$6)</x:f>
        <x:v>1</x:v>
      </x:c>
      <x:c r="D21" s="35" t="n">
        <x:f>COUNTIFS($B$47:$B$644,$A21,$A$47:$A$644,D$6)</x:f>
        <x:v>1</x:v>
      </x:c>
      <x:c r="E21" s="35" t="n">
        <x:f>COUNTIFS($B$47:$B$644,$A21,$A$47:$A$644,E$6)</x:f>
        <x:v>1</x:v>
      </x:c>
      <x:c r="F21" s="35" t="n">
        <x:f>COUNTIFS($B$47:$B$644,$A21,$A$47:$A$644,F$6)</x:f>
        <x:v>2</x:v>
      </x:c>
      <x:c r="G21" s="35" t="n">
        <x:f>COUNTIFS($B$47:$B$644,$A21,$A$47:$A$644,G$6)</x:f>
        <x:v>0</x:v>
      </x:c>
      <x:c r="H21" s="35" t="n">
        <x:f>COUNTIFS($B$47:$B$644,$A21,$A$47:$A$644,H$6)</x:f>
        <x:v>1</x:v>
      </x:c>
      <x:c r="I21" s="35" t="n">
        <x:f>COUNTIFS($B$47:$B$644,$A21,$A$47:$A$644,I$6)</x:f>
        <x:v>1</x:v>
      </x:c>
      <x:c r="J21" s="35" t="n">
        <x:f>COUNTIFS($B$47:$B$644,$A21,$A$47:$A$644,J$6)</x:f>
        <x:v>1</x:v>
      </x:c>
      <x:c r="K21" s="35" t="n">
        <x:f>COUNTIFS($B$47:$B$644,$A21,$A$47:$A$644,K$6)</x:f>
        <x:v>2</x:v>
      </x:c>
      <x:c r="L21" s="35" t="n">
        <x:f>COUNTIFS($B$47:$B$644,$A21,$A$47:$A$644,L$6)</x:f>
        <x:v>2</x:v>
      </x:c>
      <x:c r="M21" s="35" t="n">
        <x:f>COUNTIFS($B$47:$B$644,$A21,$A$47:$A$644,M$6)</x:f>
        <x:v>1</x:v>
      </x:c>
      <x:c r="N21" s="35" t="n">
        <x:f>COUNTIFS($B$47:$B$644,$A21,$A$47:$A$644,N$6)</x:f>
        <x:v>1</x:v>
      </x:c>
      <x:c r="O21" s="35" t="n">
        <x:f>COUNTIFS($B$47:$B$644,$A21,$A$47:$A$644,O$6)</x:f>
        <x:v>2</x:v>
      </x:c>
      <x:c r="P21" s="35" t="n">
        <x:f>COUNTIFS($B$47:$B$644,$A21,$A$47:$A$644,P$6)</x:f>
        <x:v>1</x:v>
      </x:c>
      <x:c r="Q21" s="35" t="n">
        <x:f>COUNTIFS($B$47:$B$644,$A21,$A$47:$A$644,Q$6)</x:f>
        <x:v>1</x:v>
      </x:c>
      <x:c r="R21" s="35" t="n">
        <x:f>COUNTIFS($B$47:$B$644,$A21,$A$47:$A$644,R$6)</x:f>
        <x:v>3</x:v>
      </x:c>
      <x:c r="S21" s="35" t="n">
        <x:f>COUNTIFS($B$47:$B$644,$A21,$A$47:$A$644,S$6)</x:f>
        <x:v>2</x:v>
      </x:c>
      <x:c r="T21" s="35" t="n">
        <x:f>COUNTIFS($B$47:$B$644,$A21,$A$47:$A$644,2021,$C$47:$C$644,"计算")</x:f>
        <x:v>1</x:v>
      </x:c>
      <x:c r="U21" s="35" t="n">
        <x:f>COUNTIFS($B$47:$B$644,$A21,$A$47:$A$644,2022,$C$47:$C$644,"计算")</x:f>
        <x:v>1</x:v>
      </x:c>
      <x:c r="V21" s="35" t="n">
        <x:f>COUNTIFS($B$47:$B$644,$A21,$A$47:$A$644,2023,$C$47:$C$644,"计算")</x:f>
        <x:v>1</x:v>
      </x:c>
      <x:c r="W21" s="35" t="n">
        <x:f>COUNTIFS($B$47:$B$644,$A21,$A$47:$A$644,2024,$C$47:$C$644,"计算")</x:f>
        <x:v>1</x:v>
      </x:c>
      <x:c r="X21" s="35" t="n">
        <x:f>COUNTIFS($B$47:$B$644,$A21,$A$47:$A$644,2025,$C$47:$C$644,"计算")</x:f>
        <x:v>1</x:v>
      </x:c>
    </x:row>
    <x:row r="22" ht="32" customHeight="1">
      <x:c r="A22" s="2" t="str">
        <x:v>H4</x:v>
      </x:c>
      <x:c r="B22" s="2" t="str">
        <x:v>换热器设计、校核与操作计算</x:v>
      </x:c>
      <x:c r="C22" s="35" t="n">
        <x:f>COUNTIFS($B$47:$B$644,$A22,$A$47:$A$644,C$6)</x:f>
        <x:v>1</x:v>
      </x:c>
      <x:c r="D22" s="35" t="n">
        <x:f>COUNTIFS($B$47:$B$644,$A22,$A$47:$A$644,D$6)</x:f>
        <x:v>1</x:v>
      </x:c>
      <x:c r="E22" s="35" t="n">
        <x:f>COUNTIFS($B$47:$B$644,$A22,$A$47:$A$644,E$6)</x:f>
        <x:v>1</x:v>
      </x:c>
      <x:c r="F22" s="35" t="n">
        <x:f>COUNTIFS($B$47:$B$644,$A22,$A$47:$A$644,F$6)</x:f>
        <x:v>1</x:v>
      </x:c>
      <x:c r="G22" s="35" t="n">
        <x:f>COUNTIFS($B$47:$B$644,$A22,$A$47:$A$644,G$6)</x:f>
        <x:v>1</x:v>
      </x:c>
      <x:c r="H22" s="35" t="n">
        <x:f>COUNTIFS($B$47:$B$644,$A22,$A$47:$A$644,H$6)</x:f>
        <x:v>1</x:v>
      </x:c>
      <x:c r="I22" s="35" t="n">
        <x:f>COUNTIFS($B$47:$B$644,$A22,$A$47:$A$644,I$6)</x:f>
        <x:v>1</x:v>
      </x:c>
      <x:c r="J22" s="35" t="n">
        <x:f>COUNTIFS($B$47:$B$644,$A22,$A$47:$A$644,J$6)</x:f>
        <x:v>1</x:v>
      </x:c>
      <x:c r="K22" s="35" t="n">
        <x:f>COUNTIFS($B$47:$B$644,$A22,$A$47:$A$644,K$6)</x:f>
        <x:v>1</x:v>
      </x:c>
      <x:c r="L22" s="35" t="n">
        <x:f>COUNTIFS($B$47:$B$644,$A22,$A$47:$A$644,L$6)</x:f>
        <x:v>1</x:v>
      </x:c>
      <x:c r="M22" s="35" t="n">
        <x:f>COUNTIFS($B$47:$B$644,$A22,$A$47:$A$644,M$6)</x:f>
        <x:v>1</x:v>
      </x:c>
      <x:c r="N22" s="35" t="n">
        <x:f>COUNTIFS($B$47:$B$644,$A22,$A$47:$A$644,N$6)</x:f>
        <x:v>2</x:v>
      </x:c>
      <x:c r="O22" s="35" t="n">
        <x:f>COUNTIFS($B$47:$B$644,$A22,$A$47:$A$644,O$6)</x:f>
        <x:v>1</x:v>
      </x:c>
      <x:c r="P22" s="35" t="n">
        <x:f>COUNTIFS($B$47:$B$644,$A22,$A$47:$A$644,P$6)</x:f>
        <x:v>3</x:v>
      </x:c>
      <x:c r="Q22" s="35" t="n">
        <x:f>COUNTIFS($B$47:$B$644,$A22,$A$47:$A$644,Q$6)</x:f>
        <x:v>1</x:v>
      </x:c>
      <x:c r="R22" s="35" t="n">
        <x:f>COUNTIFS($B$47:$B$644,$A22,$A$47:$A$644,R$6)</x:f>
        <x:v>3</x:v>
      </x:c>
      <x:c r="S22" s="35" t="n">
        <x:f>COUNTIFS($B$47:$B$644,$A22,$A$47:$A$644,S$6)</x:f>
        <x:v>2</x:v>
      </x:c>
      <x:c r="T22" s="35" t="n">
        <x:f>COUNTIFS($B$47:$B$644,$A22,$A$47:$A$644,2021,$C$47:$C$644,"计算")</x:f>
        <x:v>1</x:v>
      </x:c>
      <x:c r="U22" s="35" t="n">
        <x:f>COUNTIFS($B$47:$B$644,$A22,$A$47:$A$644,2022,$C$47:$C$644,"计算")</x:f>
        <x:v>1</x:v>
      </x:c>
      <x:c r="V22" s="35" t="n">
        <x:f>COUNTIFS($B$47:$B$644,$A22,$A$47:$A$644,2023,$C$47:$C$644,"计算")</x:f>
        <x:v>1</x:v>
      </x:c>
      <x:c r="W22" s="35" t="n">
        <x:f>COUNTIFS($B$47:$B$644,$A22,$A$47:$A$644,2024,$C$47:$C$644,"计算")</x:f>
        <x:v>1</x:v>
      </x:c>
      <x:c r="X22" s="35" t="n">
        <x:f>COUNTIFS($B$47:$B$644,$A22,$A$47:$A$644,2025,$C$47:$C$644,"计算")</x:f>
        <x:v>1</x:v>
      </x:c>
    </x:row>
    <x:row r="23" ht="32" customHeight="1">
      <x:c r="A23" s="2" t="str">
        <x:v>H5</x:v>
      </x:c>
      <x:c r="B23" s="2" t="str">
        <x:v>流程选择、设备结构与强化</x:v>
      </x:c>
      <x:c r="C23" s="35" t="n">
        <x:f>COUNTIFS($B$47:$B$644,$A23,$A$47:$A$644,C$6)</x:f>
        <x:v>0</x:v>
      </x:c>
      <x:c r="D23" s="35" t="n">
        <x:f>COUNTIFS($B$47:$B$644,$A23,$A$47:$A$644,D$6)</x:f>
        <x:v>0</x:v>
      </x:c>
      <x:c r="E23" s="35" t="n">
        <x:f>COUNTIFS($B$47:$B$644,$A23,$A$47:$A$644,E$6)</x:f>
        <x:v>1</x:v>
      </x:c>
      <x:c r="F23" s="35" t="n">
        <x:f>COUNTIFS($B$47:$B$644,$A23,$A$47:$A$644,F$6)</x:f>
        <x:v>1</x:v>
      </x:c>
      <x:c r="G23" s="35" t="n">
        <x:f>COUNTIFS($B$47:$B$644,$A23,$A$47:$A$644,G$6)</x:f>
        <x:v>1</x:v>
      </x:c>
      <x:c r="H23" s="35" t="n">
        <x:f>COUNTIFS($B$47:$B$644,$A23,$A$47:$A$644,H$6)</x:f>
        <x:v>2</x:v>
      </x:c>
      <x:c r="I23" s="35" t="n">
        <x:f>COUNTIFS($B$47:$B$644,$A23,$A$47:$A$644,I$6)</x:f>
        <x:v>1</x:v>
      </x:c>
      <x:c r="J23" s="35" t="n">
        <x:f>COUNTIFS($B$47:$B$644,$A23,$A$47:$A$644,J$6)</x:f>
        <x:v>1</x:v>
      </x:c>
      <x:c r="K23" s="35" t="n">
        <x:f>COUNTIFS($B$47:$B$644,$A23,$A$47:$A$644,K$6)</x:f>
        <x:v>0</x:v>
      </x:c>
      <x:c r="L23" s="35" t="n">
        <x:f>COUNTIFS($B$47:$B$644,$A23,$A$47:$A$644,L$6)</x:f>
        <x:v>2</x:v>
      </x:c>
      <x:c r="M23" s="35" t="n">
        <x:f>COUNTIFS($B$47:$B$644,$A23,$A$47:$A$644,M$6)</x:f>
        <x:v>1</x:v>
      </x:c>
      <x:c r="N23" s="35" t="n">
        <x:f>COUNTIFS($B$47:$B$644,$A23,$A$47:$A$644,N$6)</x:f>
        <x:v>2</x:v>
      </x:c>
      <x:c r="O23" s="35" t="n">
        <x:f>COUNTIFS($B$47:$B$644,$A23,$A$47:$A$644,O$6)</x:f>
        <x:v>0</x:v>
      </x:c>
      <x:c r="P23" s="35" t="n">
        <x:f>COUNTIFS($B$47:$B$644,$A23,$A$47:$A$644,P$6)</x:f>
        <x:v>1</x:v>
      </x:c>
      <x:c r="Q23" s="35" t="n">
        <x:f>COUNTIFS($B$47:$B$644,$A23,$A$47:$A$644,Q$6)</x:f>
        <x:v>1</x:v>
      </x:c>
      <x:c r="R23" s="35" t="n">
        <x:f>COUNTIFS($B$47:$B$644,$A23,$A$47:$A$644,R$6)</x:f>
        <x:v>2</x:v>
      </x:c>
      <x:c r="S23" s="35" t="n">
        <x:f>COUNTIFS($B$47:$B$644,$A23,$A$47:$A$644,S$6)</x:f>
        <x:v>0</x:v>
      </x:c>
      <x:c r="T23" s="35" t="n">
        <x:f>COUNTIFS($B$47:$B$644,$A23,$A$47:$A$644,2021,$C$47:$C$644,"计算")</x:f>
        <x:v>0</x:v>
      </x:c>
      <x:c r="U23" s="35" t="n">
        <x:f>COUNTIFS($B$47:$B$644,$A23,$A$47:$A$644,2022,$C$47:$C$644,"计算")</x:f>
        <x:v>1</x:v>
      </x:c>
      <x:c r="V23" s="35" t="n">
        <x:f>COUNTIFS($B$47:$B$644,$A23,$A$47:$A$644,2023,$C$47:$C$644,"计算")</x:f>
        <x:v>0</x:v>
      </x:c>
      <x:c r="W23" s="35" t="n">
        <x:f>COUNTIFS($B$47:$B$644,$A23,$A$47:$A$644,2024,$C$47:$C$644,"计算")</x:f>
        <x:v>0</x:v>
      </x:c>
      <x:c r="X23" s="35" t="n">
        <x:f>COUNTIFS($B$47:$B$644,$A23,$A$47:$A$644,2025,$C$47:$C$644,"计算")</x:f>
        <x:v>0</x:v>
      </x:c>
    </x:row>
    <x:row r="24" ht="32" customHeight="1">
      <x:c r="A24" s="2" t="str">
        <x:v>H6</x:v>
      </x:c>
      <x:c r="B24" s="2" t="str">
        <x:v>沸腾与冷凝传热</x:v>
      </x:c>
      <x:c r="C24" s="35" t="n">
        <x:f>COUNTIFS($B$47:$B$644,$A24,$A$47:$A$644,C$6)</x:f>
        <x:v>0</x:v>
      </x:c>
      <x:c r="D24" s="35" t="n">
        <x:f>COUNTIFS($B$47:$B$644,$A24,$A$47:$A$644,D$6)</x:f>
        <x:v>0</x:v>
      </x:c>
      <x:c r="E24" s="35" t="n">
        <x:f>COUNTIFS($B$47:$B$644,$A24,$A$47:$A$644,E$6)</x:f>
        <x:v>0</x:v>
      </x:c>
      <x:c r="F24" s="35" t="n">
        <x:f>COUNTIFS($B$47:$B$644,$A24,$A$47:$A$644,F$6)</x:f>
        <x:v>0</x:v>
      </x:c>
      <x:c r="G24" s="35" t="n">
        <x:f>COUNTIFS($B$47:$B$644,$A24,$A$47:$A$644,G$6)</x:f>
        <x:v>0</x:v>
      </x:c>
      <x:c r="H24" s="35" t="n">
        <x:f>COUNTIFS($B$47:$B$644,$A24,$A$47:$A$644,H$6)</x:f>
        <x:v>1</x:v>
      </x:c>
      <x:c r="I24" s="35" t="n">
        <x:f>COUNTIFS($B$47:$B$644,$A24,$A$47:$A$644,I$6)</x:f>
        <x:v>1</x:v>
      </x:c>
      <x:c r="J24" s="35" t="n">
        <x:f>COUNTIFS($B$47:$B$644,$A24,$A$47:$A$644,J$6)</x:f>
        <x:v>1</x:v>
      </x:c>
      <x:c r="K24" s="35" t="n">
        <x:f>COUNTIFS($B$47:$B$644,$A24,$A$47:$A$644,K$6)</x:f>
        <x:v>0</x:v>
      </x:c>
      <x:c r="L24" s="35" t="n">
        <x:f>COUNTIFS($B$47:$B$644,$A24,$A$47:$A$644,L$6)</x:f>
        <x:v>0</x:v>
      </x:c>
      <x:c r="M24" s="35" t="n">
        <x:f>COUNTIFS($B$47:$B$644,$A24,$A$47:$A$644,M$6)</x:f>
        <x:v>1</x:v>
      </x:c>
      <x:c r="N24" s="35" t="n">
        <x:f>COUNTIFS($B$47:$B$644,$A24,$A$47:$A$644,N$6)</x:f>
        <x:v>1</x:v>
      </x:c>
      <x:c r="O24" s="35" t="n">
        <x:f>COUNTIFS($B$47:$B$644,$A24,$A$47:$A$644,O$6)</x:f>
        <x:v>0</x:v>
      </x:c>
      <x:c r="P24" s="35" t="n">
        <x:f>COUNTIFS($B$47:$B$644,$A24,$A$47:$A$644,P$6)</x:f>
        <x:v>1</x:v>
      </x:c>
      <x:c r="Q24" s="35" t="n">
        <x:f>COUNTIFS($B$47:$B$644,$A24,$A$47:$A$644,Q$6)</x:f>
        <x:v>0</x:v>
      </x:c>
      <x:c r="R24" s="35" t="n">
        <x:f>COUNTIFS($B$47:$B$644,$A24,$A$47:$A$644,R$6)</x:f>
        <x:v>0</x:v>
      </x:c>
      <x:c r="S24" s="35" t="n">
        <x:f>COUNTIFS($B$47:$B$644,$A24,$A$47:$A$644,S$6)</x:f>
        <x:v>1</x:v>
      </x:c>
      <x:c r="T24" s="35" t="n">
        <x:f>COUNTIFS($B$47:$B$644,$A24,$A$47:$A$644,2021,$C$47:$C$644,"计算")</x:f>
        <x:v>0</x:v>
      </x:c>
      <x:c r="U24" s="35" t="n">
        <x:f>COUNTIFS($B$47:$B$644,$A24,$A$47:$A$644,2022,$C$47:$C$644,"计算")</x:f>
        <x:v>0</x:v>
      </x:c>
      <x:c r="V24" s="35" t="n">
        <x:f>COUNTIFS($B$47:$B$644,$A24,$A$47:$A$644,2023,$C$47:$C$644,"计算")</x:f>
        <x:v>0</x:v>
      </x:c>
      <x:c r="W24" s="35" t="n">
        <x:f>COUNTIFS($B$47:$B$644,$A24,$A$47:$A$644,2024,$C$47:$C$644,"计算")</x:f>
        <x:v>0</x:v>
      </x:c>
      <x:c r="X24" s="35" t="n">
        <x:f>COUNTIFS($B$47:$B$644,$A24,$A$47:$A$644,2025,$C$47:$C$644,"计算")</x:f>
        <x:v>0</x:v>
      </x:c>
    </x:row>
    <x:row r="25" ht="32" customHeight="1">
      <x:c r="A25" s="2" t="str">
        <x:v>M1</x:v>
      </x:c>
      <x:c r="B25" s="2" t="str">
        <x:v>分子扩散、费克定律与总体流动</x:v>
      </x:c>
      <x:c r="C25" s="35" t="n">
        <x:f>COUNTIFS($B$47:$B$644,$A25,$A$47:$A$644,C$6)</x:f>
        <x:v>1</x:v>
      </x:c>
      <x:c r="D25" s="35" t="n">
        <x:f>COUNTIFS($B$47:$B$644,$A25,$A$47:$A$644,D$6)</x:f>
        <x:v>1</x:v>
      </x:c>
      <x:c r="E25" s="35" t="n">
        <x:f>COUNTIFS($B$47:$B$644,$A25,$A$47:$A$644,E$6)</x:f>
        <x:v>1</x:v>
      </x:c>
      <x:c r="F25" s="35" t="n">
        <x:f>COUNTIFS($B$47:$B$644,$A25,$A$47:$A$644,F$6)</x:f>
        <x:v>1</x:v>
      </x:c>
      <x:c r="G25" s="35" t="n">
        <x:f>COUNTIFS($B$47:$B$644,$A25,$A$47:$A$644,G$6)</x:f>
        <x:v>0</x:v>
      </x:c>
      <x:c r="H25" s="35" t="n">
        <x:f>COUNTIFS($B$47:$B$644,$A25,$A$47:$A$644,H$6)</x:f>
        <x:v>1</x:v>
      </x:c>
      <x:c r="I25" s="35" t="n">
        <x:f>COUNTIFS($B$47:$B$644,$A25,$A$47:$A$644,I$6)</x:f>
        <x:v>0</x:v>
      </x:c>
      <x:c r="J25" s="35" t="n">
        <x:f>COUNTIFS($B$47:$B$644,$A25,$A$47:$A$644,J$6)</x:f>
        <x:v>0</x:v>
      </x:c>
      <x:c r="K25" s="35" t="n">
        <x:f>COUNTIFS($B$47:$B$644,$A25,$A$47:$A$644,K$6)</x:f>
        <x:v>0</x:v>
      </x:c>
      <x:c r="L25" s="35" t="n">
        <x:f>COUNTIFS($B$47:$B$644,$A25,$A$47:$A$644,L$6)</x:f>
        <x:v>1</x:v>
      </x:c>
      <x:c r="M25" s="35" t="n">
        <x:f>COUNTIFS($B$47:$B$644,$A25,$A$47:$A$644,M$6)</x:f>
        <x:v>0</x:v>
      </x:c>
      <x:c r="N25" s="35" t="n">
        <x:f>COUNTIFS($B$47:$B$644,$A25,$A$47:$A$644,N$6)</x:f>
        <x:v>0</x:v>
      </x:c>
      <x:c r="O25" s="35" t="n">
        <x:f>COUNTIFS($B$47:$B$644,$A25,$A$47:$A$644,O$6)</x:f>
        <x:v>0</x:v>
      </x:c>
      <x:c r="P25" s="35" t="n">
        <x:f>COUNTIFS($B$47:$B$644,$A25,$A$47:$A$644,P$6)</x:f>
        <x:v>0</x:v>
      </x:c>
      <x:c r="Q25" s="35" t="n">
        <x:f>COUNTIFS($B$47:$B$644,$A25,$A$47:$A$644,Q$6)</x:f>
        <x:v>1</x:v>
      </x:c>
      <x:c r="R25" s="35" t="n">
        <x:f>COUNTIFS($B$47:$B$644,$A25,$A$47:$A$644,R$6)</x:f>
        <x:v>2</x:v>
      </x:c>
      <x:c r="S25" s="35" t="n">
        <x:f>COUNTIFS($B$47:$B$644,$A25,$A$47:$A$644,S$6)</x:f>
        <x:v>1</x:v>
      </x:c>
      <x:c r="T25" s="35" t="n">
        <x:f>COUNTIFS($B$47:$B$644,$A25,$A$47:$A$644,2021,$C$47:$C$644,"计算")</x:f>
        <x:v>0</x:v>
      </x:c>
      <x:c r="U25" s="35" t="n">
        <x:f>COUNTIFS($B$47:$B$644,$A25,$A$47:$A$644,2022,$C$47:$C$644,"计算")</x:f>
        <x:v>0</x:v>
      </x:c>
      <x:c r="V25" s="35" t="n">
        <x:f>COUNTIFS($B$47:$B$644,$A25,$A$47:$A$644,2023,$C$47:$C$644,"计算")</x:f>
        <x:v>0</x:v>
      </x:c>
      <x:c r="W25" s="35" t="n">
        <x:f>COUNTIFS($B$47:$B$644,$A25,$A$47:$A$644,2024,$C$47:$C$644,"计算")</x:f>
        <x:v>0</x:v>
      </x:c>
      <x:c r="X25" s="35" t="n">
        <x:f>COUNTIFS($B$47:$B$644,$A25,$A$47:$A$644,2025,$C$47:$C$644,"计算")</x:f>
        <x:v>0</x:v>
      </x:c>
    </x:row>
    <x:row r="26" ht="32" customHeight="1">
      <x:c r="A26" s="2" t="str">
        <x:v>D1</x:v>
      </x:c>
      <x:c r="B26" s="2" t="str">
        <x:v>相平衡、相对挥发度与闪蒸</x:v>
      </x:c>
      <x:c r="C26" s="35" t="n">
        <x:f>COUNTIFS($B$47:$B$644,$A26,$A$47:$A$644,C$6)</x:f>
        <x:v>1</x:v>
      </x:c>
      <x:c r="D26" s="35" t="n">
        <x:f>COUNTIFS($B$47:$B$644,$A26,$A$47:$A$644,D$6)</x:f>
        <x:v>1</x:v>
      </x:c>
      <x:c r="E26" s="35" t="n">
        <x:f>COUNTIFS($B$47:$B$644,$A26,$A$47:$A$644,E$6)</x:f>
        <x:v>0</x:v>
      </x:c>
      <x:c r="F26" s="35" t="n">
        <x:f>COUNTIFS($B$47:$B$644,$A26,$A$47:$A$644,F$6)</x:f>
        <x:v>2</x:v>
      </x:c>
      <x:c r="G26" s="35" t="n">
        <x:f>COUNTIFS($B$47:$B$644,$A26,$A$47:$A$644,G$6)</x:f>
        <x:v>2</x:v>
      </x:c>
      <x:c r="H26" s="35" t="n">
        <x:f>COUNTIFS($B$47:$B$644,$A26,$A$47:$A$644,H$6)</x:f>
        <x:v>0</x:v>
      </x:c>
      <x:c r="I26" s="35" t="n">
        <x:f>COUNTIFS($B$47:$B$644,$A26,$A$47:$A$644,I$6)</x:f>
        <x:v>1</x:v>
      </x:c>
      <x:c r="J26" s="35" t="n">
        <x:f>COUNTIFS($B$47:$B$644,$A26,$A$47:$A$644,J$6)</x:f>
        <x:v>0</x:v>
      </x:c>
      <x:c r="K26" s="35" t="n">
        <x:f>COUNTIFS($B$47:$B$644,$A26,$A$47:$A$644,K$6)</x:f>
        <x:v>2</x:v>
      </x:c>
      <x:c r="L26" s="35" t="n">
        <x:f>COUNTIFS($B$47:$B$644,$A26,$A$47:$A$644,L$6)</x:f>
        <x:v>2</x:v>
      </x:c>
      <x:c r="M26" s="35" t="n">
        <x:f>COUNTIFS($B$47:$B$644,$A26,$A$47:$A$644,M$6)</x:f>
        <x:v>1</x:v>
      </x:c>
      <x:c r="N26" s="35" t="n">
        <x:f>COUNTIFS($B$47:$B$644,$A26,$A$47:$A$644,N$6)</x:f>
        <x:v>2</x:v>
      </x:c>
      <x:c r="O26" s="35" t="n">
        <x:f>COUNTIFS($B$47:$B$644,$A26,$A$47:$A$644,O$6)</x:f>
        <x:v>1</x:v>
      </x:c>
      <x:c r="P26" s="35" t="n">
        <x:f>COUNTIFS($B$47:$B$644,$A26,$A$47:$A$644,P$6)</x:f>
        <x:v>1</x:v>
      </x:c>
      <x:c r="Q26" s="35" t="n">
        <x:f>COUNTIFS($B$47:$B$644,$A26,$A$47:$A$644,Q$6)</x:f>
        <x:v>2</x:v>
      </x:c>
      <x:c r="R26" s="35" t="n">
        <x:f>COUNTIFS($B$47:$B$644,$A26,$A$47:$A$644,R$6)</x:f>
        <x:v>2</x:v>
      </x:c>
      <x:c r="S26" s="35" t="n">
        <x:f>COUNTIFS($B$47:$B$644,$A26,$A$47:$A$644,S$6)</x:f>
        <x:v>1</x:v>
      </x:c>
      <x:c r="T26" s="35" t="n">
        <x:f>COUNTIFS($B$47:$B$644,$A26,$A$47:$A$644,2021,$C$47:$C$644,"计算")</x:f>
        <x:v>1</x:v>
      </x:c>
      <x:c r="U26" s="35" t="n">
        <x:f>COUNTIFS($B$47:$B$644,$A26,$A$47:$A$644,2022,$C$47:$C$644,"计算")</x:f>
        <x:v>1</x:v>
      </x:c>
      <x:c r="V26" s="35" t="n">
        <x:f>COUNTIFS($B$47:$B$644,$A26,$A$47:$A$644,2023,$C$47:$C$644,"计算")</x:f>
        <x:v>1</x:v>
      </x:c>
      <x:c r="W26" s="35" t="n">
        <x:f>COUNTIFS($B$47:$B$644,$A26,$A$47:$A$644,2024,$C$47:$C$644,"计算")</x:f>
        <x:v>1</x:v>
      </x:c>
      <x:c r="X26" s="35" t="n">
        <x:f>COUNTIFS($B$47:$B$644,$A26,$A$47:$A$644,2025,$C$47:$C$644,"计算")</x:f>
        <x:v>1</x:v>
      </x:c>
    </x:row>
    <x:row r="27" ht="32" customHeight="1">
      <x:c r="A27" s="2" t="str">
        <x:v>D2</x:v>
      </x:c>
      <x:c r="B27" s="2" t="str">
        <x:v>精馏衡算、操作线与进料热状态</x:v>
      </x:c>
      <x:c r="C27" s="35" t="n">
        <x:f>COUNTIFS($B$47:$B$644,$A27,$A$47:$A$644,C$6)</x:f>
        <x:v>1</x:v>
      </x:c>
      <x:c r="D27" s="35" t="n">
        <x:f>COUNTIFS($B$47:$B$644,$A27,$A$47:$A$644,D$6)</x:f>
        <x:v>3</x:v>
      </x:c>
      <x:c r="E27" s="35" t="n">
        <x:f>COUNTIFS($B$47:$B$644,$A27,$A$47:$A$644,E$6)</x:f>
        <x:v>1</x:v>
      </x:c>
      <x:c r="F27" s="35" t="n">
        <x:f>COUNTIFS($B$47:$B$644,$A27,$A$47:$A$644,F$6)</x:f>
        <x:v>1</x:v>
      </x:c>
      <x:c r="G27" s="35" t="n">
        <x:f>COUNTIFS($B$47:$B$644,$A27,$A$47:$A$644,G$6)</x:f>
        <x:v>2</x:v>
      </x:c>
      <x:c r="H27" s="35" t="n">
        <x:f>COUNTIFS($B$47:$B$644,$A27,$A$47:$A$644,H$6)</x:f>
        <x:v>2</x:v>
      </x:c>
      <x:c r="I27" s="35" t="n">
        <x:f>COUNTIFS($B$47:$B$644,$A27,$A$47:$A$644,I$6)</x:f>
        <x:v>3</x:v>
      </x:c>
      <x:c r="J27" s="35" t="n">
        <x:f>COUNTIFS($B$47:$B$644,$A27,$A$47:$A$644,J$6)</x:f>
        <x:v>2</x:v>
      </x:c>
      <x:c r="K27" s="35" t="n">
        <x:f>COUNTIFS($B$47:$B$644,$A27,$A$47:$A$644,K$6)</x:f>
        <x:v>2</x:v>
      </x:c>
      <x:c r="L27" s="35" t="n">
        <x:f>COUNTIFS($B$47:$B$644,$A27,$A$47:$A$644,L$6)</x:f>
        <x:v>2</x:v>
      </x:c>
      <x:c r="M27" s="35" t="n">
        <x:f>COUNTIFS($B$47:$B$644,$A27,$A$47:$A$644,M$6)</x:f>
        <x:v>2</x:v>
      </x:c>
      <x:c r="N27" s="35" t="n">
        <x:f>COUNTIFS($B$47:$B$644,$A27,$A$47:$A$644,N$6)</x:f>
        <x:v>2</x:v>
      </x:c>
      <x:c r="O27" s="35" t="n">
        <x:f>COUNTIFS($B$47:$B$644,$A27,$A$47:$A$644,O$6)</x:f>
        <x:v>4</x:v>
      </x:c>
      <x:c r="P27" s="35" t="n">
        <x:f>COUNTIFS($B$47:$B$644,$A27,$A$47:$A$644,P$6)</x:f>
        <x:v>1</x:v>
      </x:c>
      <x:c r="Q27" s="35" t="n">
        <x:f>COUNTIFS($B$47:$B$644,$A27,$A$47:$A$644,Q$6)</x:f>
        <x:v>2</x:v>
      </x:c>
      <x:c r="R27" s="35" t="n">
        <x:f>COUNTIFS($B$47:$B$644,$A27,$A$47:$A$644,R$6)</x:f>
        <x:v>2</x:v>
      </x:c>
      <x:c r="S27" s="35" t="n">
        <x:f>COUNTIFS($B$47:$B$644,$A27,$A$47:$A$644,S$6)</x:f>
        <x:v>3</x:v>
      </x:c>
      <x:c r="T27" s="35" t="n">
        <x:f>COUNTIFS($B$47:$B$644,$A27,$A$47:$A$644,2021,$C$47:$C$644,"计算")</x:f>
        <x:v>1</x:v>
      </x:c>
      <x:c r="U27" s="35" t="n">
        <x:f>COUNTIFS($B$47:$B$644,$A27,$A$47:$A$644,2022,$C$47:$C$644,"计算")</x:f>
        <x:v>1</x:v>
      </x:c>
      <x:c r="V27" s="35" t="n">
        <x:f>COUNTIFS($B$47:$B$644,$A27,$A$47:$A$644,2023,$C$47:$C$644,"计算")</x:f>
        <x:v>1</x:v>
      </x:c>
      <x:c r="W27" s="35" t="n">
        <x:f>COUNTIFS($B$47:$B$644,$A27,$A$47:$A$644,2024,$C$47:$C$644,"计算")</x:f>
        <x:v>1</x:v>
      </x:c>
      <x:c r="X27" s="35" t="n">
        <x:f>COUNTIFS($B$47:$B$644,$A27,$A$47:$A$644,2025,$C$47:$C$644,"计算")</x:f>
        <x:v>1</x:v>
      </x:c>
    </x:row>
    <x:row r="28" ht="32" customHeight="1">
      <x:c r="A28" s="2" t="str">
        <x:v>D3</x:v>
      </x:c>
      <x:c r="B28" s="2" t="str">
        <x:v>逐板计算、理论板与板效率</x:v>
      </x:c>
      <x:c r="C28" s="35" t="n">
        <x:f>COUNTIFS($B$47:$B$644,$A28,$A$47:$A$644,C$6)</x:f>
        <x:v>1</x:v>
      </x:c>
      <x:c r="D28" s="35" t="n">
        <x:f>COUNTIFS($B$47:$B$644,$A28,$A$47:$A$644,D$6)</x:f>
        <x:v>1</x:v>
      </x:c>
      <x:c r="E28" s="35" t="n">
        <x:f>COUNTIFS($B$47:$B$644,$A28,$A$47:$A$644,E$6)</x:f>
        <x:v>1</x:v>
      </x:c>
      <x:c r="F28" s="35" t="n">
        <x:f>COUNTIFS($B$47:$B$644,$A28,$A$47:$A$644,F$6)</x:f>
        <x:v>1</x:v>
      </x:c>
      <x:c r="G28" s="35" t="n">
        <x:f>COUNTIFS($B$47:$B$644,$A28,$A$47:$A$644,G$6)</x:f>
        <x:v>2</x:v>
      </x:c>
      <x:c r="H28" s="35" t="n">
        <x:f>COUNTIFS($B$47:$B$644,$A28,$A$47:$A$644,H$6)</x:f>
        <x:v>2</x:v>
      </x:c>
      <x:c r="I28" s="35" t="n">
        <x:f>COUNTIFS($B$47:$B$644,$A28,$A$47:$A$644,I$6)</x:f>
        <x:v>2</x:v>
      </x:c>
      <x:c r="J28" s="35" t="n">
        <x:f>COUNTIFS($B$47:$B$644,$A28,$A$47:$A$644,J$6)</x:f>
        <x:v>1</x:v>
      </x:c>
      <x:c r="K28" s="35" t="n">
        <x:f>COUNTIFS($B$47:$B$644,$A28,$A$47:$A$644,K$6)</x:f>
        <x:v>2</x:v>
      </x:c>
      <x:c r="L28" s="35" t="n">
        <x:f>COUNTIFS($B$47:$B$644,$A28,$A$47:$A$644,L$6)</x:f>
        <x:v>3</x:v>
      </x:c>
      <x:c r="M28" s="35" t="n">
        <x:f>COUNTIFS($B$47:$B$644,$A28,$A$47:$A$644,M$6)</x:f>
        <x:v>1</x:v>
      </x:c>
      <x:c r="N28" s="35" t="n">
        <x:f>COUNTIFS($B$47:$B$644,$A28,$A$47:$A$644,N$6)</x:f>
        <x:v>1</x:v>
      </x:c>
      <x:c r="O28" s="35" t="n">
        <x:f>COUNTIFS($B$47:$B$644,$A28,$A$47:$A$644,O$6)</x:f>
        <x:v>1</x:v>
      </x:c>
      <x:c r="P28" s="35" t="n">
        <x:f>COUNTIFS($B$47:$B$644,$A28,$A$47:$A$644,P$6)</x:f>
        <x:v>2</x:v>
      </x:c>
      <x:c r="Q28" s="35" t="n">
        <x:f>COUNTIFS($B$47:$B$644,$A28,$A$47:$A$644,Q$6)</x:f>
        <x:v>2</x:v>
      </x:c>
      <x:c r="R28" s="35" t="n">
        <x:f>COUNTIFS($B$47:$B$644,$A28,$A$47:$A$644,R$6)</x:f>
        <x:v>2</x:v>
      </x:c>
      <x:c r="S28" s="35" t="n">
        <x:f>COUNTIFS($B$47:$B$644,$A28,$A$47:$A$644,S$6)</x:f>
        <x:v>1</x:v>
      </x:c>
      <x:c r="T28" s="35" t="n">
        <x:f>COUNTIFS($B$47:$B$644,$A28,$A$47:$A$644,2021,$C$47:$C$644,"计算")</x:f>
        <x:v>1</x:v>
      </x:c>
      <x:c r="U28" s="35" t="n">
        <x:f>COUNTIFS($B$47:$B$644,$A28,$A$47:$A$644,2022,$C$47:$C$644,"计算")</x:f>
        <x:v>1</x:v>
      </x:c>
      <x:c r="V28" s="35" t="n">
        <x:f>COUNTIFS($B$47:$B$644,$A28,$A$47:$A$644,2023,$C$47:$C$644,"计算")</x:f>
        <x:v>1</x:v>
      </x:c>
      <x:c r="W28" s="35" t="n">
        <x:f>COUNTIFS($B$47:$B$644,$A28,$A$47:$A$644,2024,$C$47:$C$644,"计算")</x:f>
        <x:v>1</x:v>
      </x:c>
      <x:c r="X28" s="35" t="n">
        <x:f>COUNTIFS($B$47:$B$644,$A28,$A$47:$A$644,2025,$C$47:$C$644,"计算")</x:f>
        <x:v>0</x:v>
      </x:c>
    </x:row>
    <x:row r="29" ht="32" customHeight="1">
      <x:c r="A29" s="2" t="str">
        <x:v>D4</x:v>
      </x:c>
      <x:c r="B29" s="2" t="str">
        <x:v>回流比、极限条件与操作分析</x:v>
      </x:c>
      <x:c r="C29" s="35" t="n">
        <x:f>COUNTIFS($B$47:$B$644,$A29,$A$47:$A$644,C$6)</x:f>
        <x:v>0</x:v>
      </x:c>
      <x:c r="D29" s="35" t="n">
        <x:f>COUNTIFS($B$47:$B$644,$A29,$A$47:$A$644,D$6)</x:f>
        <x:v>1</x:v>
      </x:c>
      <x:c r="E29" s="35" t="n">
        <x:f>COUNTIFS($B$47:$B$644,$A29,$A$47:$A$644,E$6)</x:f>
        <x:v>1</x:v>
      </x:c>
      <x:c r="F29" s="35" t="n">
        <x:f>COUNTIFS($B$47:$B$644,$A29,$A$47:$A$644,F$6)</x:f>
        <x:v>2</x:v>
      </x:c>
      <x:c r="G29" s="35" t="n">
        <x:f>COUNTIFS($B$47:$B$644,$A29,$A$47:$A$644,G$6)</x:f>
        <x:v>2</x:v>
      </x:c>
      <x:c r="H29" s="35" t="n">
        <x:f>COUNTIFS($B$47:$B$644,$A29,$A$47:$A$644,H$6)</x:f>
        <x:v>2</x:v>
      </x:c>
      <x:c r="I29" s="35" t="n">
        <x:f>COUNTIFS($B$47:$B$644,$A29,$A$47:$A$644,I$6)</x:f>
        <x:v>1</x:v>
      </x:c>
      <x:c r="J29" s="35" t="n">
        <x:f>COUNTIFS($B$47:$B$644,$A29,$A$47:$A$644,J$6)</x:f>
        <x:v>1</x:v>
      </x:c>
      <x:c r="K29" s="35" t="n">
        <x:f>COUNTIFS($B$47:$B$644,$A29,$A$47:$A$644,K$6)</x:f>
        <x:v>2</x:v>
      </x:c>
      <x:c r="L29" s="35" t="n">
        <x:f>COUNTIFS($B$47:$B$644,$A29,$A$47:$A$644,L$6)</x:f>
        <x:v>2</x:v>
      </x:c>
      <x:c r="M29" s="35" t="n">
        <x:f>COUNTIFS($B$47:$B$644,$A29,$A$47:$A$644,M$6)</x:f>
        <x:v>2</x:v>
      </x:c>
      <x:c r="N29" s="35" t="n">
        <x:f>COUNTIFS($B$47:$B$644,$A29,$A$47:$A$644,N$6)</x:f>
        <x:v>0</x:v>
      </x:c>
      <x:c r="O29" s="35" t="n">
        <x:f>COUNTIFS($B$47:$B$644,$A29,$A$47:$A$644,O$6)</x:f>
        <x:v>2</x:v>
      </x:c>
      <x:c r="P29" s="35" t="n">
        <x:f>COUNTIFS($B$47:$B$644,$A29,$A$47:$A$644,P$6)</x:f>
        <x:v>4</x:v>
      </x:c>
      <x:c r="Q29" s="35" t="n">
        <x:f>COUNTIFS($B$47:$B$644,$A29,$A$47:$A$644,Q$6)</x:f>
        <x:v>2</x:v>
      </x:c>
      <x:c r="R29" s="35" t="n">
        <x:f>COUNTIFS($B$47:$B$644,$A29,$A$47:$A$644,R$6)</x:f>
        <x:v>3</x:v>
      </x:c>
      <x:c r="S29" s="35" t="n">
        <x:f>COUNTIFS($B$47:$B$644,$A29,$A$47:$A$644,S$6)</x:f>
        <x:v>2</x:v>
      </x:c>
      <x:c r="T29" s="35" t="n">
        <x:f>COUNTIFS($B$47:$B$644,$A29,$A$47:$A$644,2021,$C$47:$C$644,"计算")</x:f>
        <x:v>1</x:v>
      </x:c>
      <x:c r="U29" s="35" t="n">
        <x:f>COUNTIFS($B$47:$B$644,$A29,$A$47:$A$644,2022,$C$47:$C$644,"计算")</x:f>
        <x:v>1</x:v>
      </x:c>
      <x:c r="V29" s="35" t="n">
        <x:f>COUNTIFS($B$47:$B$644,$A29,$A$47:$A$644,2023,$C$47:$C$644,"计算")</x:f>
        <x:v>1</x:v>
      </x:c>
      <x:c r="W29" s="35" t="n">
        <x:f>COUNTIFS($B$47:$B$644,$A29,$A$47:$A$644,2024,$C$47:$C$644,"计算")</x:f>
        <x:v>1</x:v>
      </x:c>
      <x:c r="X29" s="35" t="n">
        <x:f>COUNTIFS($B$47:$B$644,$A29,$A$47:$A$644,2025,$C$47:$C$644,"计算")</x:f>
        <x:v>1</x:v>
      </x:c>
    </x:row>
    <x:row r="30" ht="32" customHeight="1">
      <x:c r="A30" s="2" t="str">
        <x:v>D5</x:v>
      </x:c>
      <x:c r="B30" s="2" t="str">
        <x:v>简单、间歇与特殊蒸馏</x:v>
      </x:c>
      <x:c r="C30" s="35" t="n">
        <x:f>COUNTIFS($B$47:$B$644,$A30,$A$47:$A$644,C$6)</x:f>
        <x:v>1</x:v>
      </x:c>
      <x:c r="D30" s="35" t="n">
        <x:f>COUNTIFS($B$47:$B$644,$A30,$A$47:$A$644,D$6)</x:f>
        <x:v>0</x:v>
      </x:c>
      <x:c r="E30" s="35" t="n">
        <x:f>COUNTIFS($B$47:$B$644,$A30,$A$47:$A$644,E$6)</x:f>
        <x:v>2</x:v>
      </x:c>
      <x:c r="F30" s="35" t="n">
        <x:f>COUNTIFS($B$47:$B$644,$A30,$A$47:$A$644,F$6)</x:f>
        <x:v>0</x:v>
      </x:c>
      <x:c r="G30" s="35" t="n">
        <x:f>COUNTIFS($B$47:$B$644,$A30,$A$47:$A$644,G$6)</x:f>
        <x:v>0</x:v>
      </x:c>
      <x:c r="H30" s="35" t="n">
        <x:f>COUNTIFS($B$47:$B$644,$A30,$A$47:$A$644,H$6)</x:f>
        <x:v>1</x:v>
      </x:c>
      <x:c r="I30" s="35" t="n">
        <x:f>COUNTIFS($B$47:$B$644,$A30,$A$47:$A$644,I$6)</x:f>
        <x:v>1</x:v>
      </x:c>
      <x:c r="J30" s="35" t="n">
        <x:f>COUNTIFS($B$47:$B$644,$A30,$A$47:$A$644,J$6)</x:f>
        <x:v>1</x:v>
      </x:c>
      <x:c r="K30" s="35" t="n">
        <x:f>COUNTIFS($B$47:$B$644,$A30,$A$47:$A$644,K$6)</x:f>
        <x:v>0</x:v>
      </x:c>
      <x:c r="L30" s="35" t="n">
        <x:f>COUNTIFS($B$47:$B$644,$A30,$A$47:$A$644,L$6)</x:f>
        <x:v>0</x:v>
      </x:c>
      <x:c r="M30" s="35" t="n">
        <x:f>COUNTIFS($B$47:$B$644,$A30,$A$47:$A$644,M$6)</x:f>
        <x:v>0</x:v>
      </x:c>
      <x:c r="N30" s="35" t="n">
        <x:f>COUNTIFS($B$47:$B$644,$A30,$A$47:$A$644,N$6)</x:f>
        <x:v>1</x:v>
      </x:c>
      <x:c r="O30" s="35" t="n">
        <x:f>COUNTIFS($B$47:$B$644,$A30,$A$47:$A$644,O$6)</x:f>
        <x:v>0</x:v>
      </x:c>
      <x:c r="P30" s="35" t="n">
        <x:f>COUNTIFS($B$47:$B$644,$A30,$A$47:$A$644,P$6)</x:f>
        <x:v>0</x:v>
      </x:c>
      <x:c r="Q30" s="35" t="n">
        <x:f>COUNTIFS($B$47:$B$644,$A30,$A$47:$A$644,Q$6)</x:f>
        <x:v>0</x:v>
      </x:c>
      <x:c r="R30" s="35" t="n">
        <x:f>COUNTIFS($B$47:$B$644,$A30,$A$47:$A$644,R$6)</x:f>
        <x:v>1</x:v>
      </x:c>
      <x:c r="S30" s="35" t="n">
        <x:f>COUNTIFS($B$47:$B$644,$A30,$A$47:$A$644,S$6)</x:f>
        <x:v>1</x:v>
      </x:c>
      <x:c r="T30" s="35" t="n">
        <x:f>COUNTIFS($B$47:$B$644,$A30,$A$47:$A$644,2021,$C$47:$C$644,"计算")</x:f>
        <x:v>0</x:v>
      </x:c>
      <x:c r="U30" s="35" t="n">
        <x:f>COUNTIFS($B$47:$B$644,$A30,$A$47:$A$644,2022,$C$47:$C$644,"计算")</x:f>
        <x:v>0</x:v>
      </x:c>
      <x:c r="V30" s="35" t="n">
        <x:f>COUNTIFS($B$47:$B$644,$A30,$A$47:$A$644,2023,$C$47:$C$644,"计算")</x:f>
        <x:v>0</x:v>
      </x:c>
      <x:c r="W30" s="35" t="n">
        <x:f>COUNTIFS($B$47:$B$644,$A30,$A$47:$A$644,2024,$C$47:$C$644,"计算")</x:f>
        <x:v>0</x:v>
      </x:c>
      <x:c r="X30" s="35" t="n">
        <x:f>COUNTIFS($B$47:$B$644,$A30,$A$47:$A$644,2025,$C$47:$C$644,"计算")</x:f>
        <x:v>0</x:v>
      </x:c>
    </x:row>
    <x:row r="31" ht="32" customHeight="1">
      <x:c r="A31" s="2" t="str">
        <x:v>A1</x:v>
      </x:c>
      <x:c r="B31" s="2" t="str">
        <x:v>亨利定律、平衡与传质方向</x:v>
      </x:c>
      <x:c r="C31" s="35" t="n">
        <x:f>COUNTIFS($B$47:$B$644,$A31,$A$47:$A$644,C$6)</x:f>
        <x:v>1</x:v>
      </x:c>
      <x:c r="D31" s="35" t="n">
        <x:f>COUNTIFS($B$47:$B$644,$A31,$A$47:$A$644,D$6)</x:f>
        <x:v>0</x:v>
      </x:c>
      <x:c r="E31" s="35" t="n">
        <x:f>COUNTIFS($B$47:$B$644,$A31,$A$47:$A$644,E$6)</x:f>
        <x:v>0</x:v>
      </x:c>
      <x:c r="F31" s="35" t="n">
        <x:f>COUNTIFS($B$47:$B$644,$A31,$A$47:$A$644,F$6)</x:f>
        <x:v>1</x:v>
      </x:c>
      <x:c r="G31" s="35" t="n">
        <x:f>COUNTIFS($B$47:$B$644,$A31,$A$47:$A$644,G$6)</x:f>
        <x:v>1</x:v>
      </x:c>
      <x:c r="H31" s="35" t="n">
        <x:f>COUNTIFS($B$47:$B$644,$A31,$A$47:$A$644,H$6)</x:f>
        <x:v>1</x:v>
      </x:c>
      <x:c r="I31" s="35" t="n">
        <x:f>COUNTIFS($B$47:$B$644,$A31,$A$47:$A$644,I$6)</x:f>
        <x:v>0</x:v>
      </x:c>
      <x:c r="J31" s="35" t="n">
        <x:f>COUNTIFS($B$47:$B$644,$A31,$A$47:$A$644,J$6)</x:f>
        <x:v>0</x:v>
      </x:c>
      <x:c r="K31" s="35" t="n">
        <x:f>COUNTIFS($B$47:$B$644,$A31,$A$47:$A$644,K$6)</x:f>
        <x:v>1</x:v>
      </x:c>
      <x:c r="L31" s="35" t="n">
        <x:f>COUNTIFS($B$47:$B$644,$A31,$A$47:$A$644,L$6)</x:f>
        <x:v>2</x:v>
      </x:c>
      <x:c r="M31" s="35" t="n">
        <x:f>COUNTIFS($B$47:$B$644,$A31,$A$47:$A$644,M$6)</x:f>
        <x:v>0</x:v>
      </x:c>
      <x:c r="N31" s="35" t="n">
        <x:f>COUNTIFS($B$47:$B$644,$A31,$A$47:$A$644,N$6)</x:f>
        <x:v>0</x:v>
      </x:c>
      <x:c r="O31" s="35" t="n">
        <x:f>COUNTIFS($B$47:$B$644,$A31,$A$47:$A$644,O$6)</x:f>
        <x:v>1</x:v>
      </x:c>
      <x:c r="P31" s="35" t="n">
        <x:f>COUNTIFS($B$47:$B$644,$A31,$A$47:$A$644,P$6)</x:f>
        <x:v>0</x:v>
      </x:c>
      <x:c r="Q31" s="35" t="n">
        <x:f>COUNTIFS($B$47:$B$644,$A31,$A$47:$A$644,Q$6)</x:f>
        <x:v>1</x:v>
      </x:c>
      <x:c r="R31" s="35" t="n">
        <x:f>COUNTIFS($B$47:$B$644,$A31,$A$47:$A$644,R$6)</x:f>
        <x:v>2</x:v>
      </x:c>
      <x:c r="S31" s="35" t="n">
        <x:f>COUNTIFS($B$47:$B$644,$A31,$A$47:$A$644,S$6)</x:f>
        <x:v>1</x:v>
      </x:c>
      <x:c r="T31" s="35" t="n">
        <x:f>COUNTIFS($B$47:$B$644,$A31,$A$47:$A$644,2021,$C$47:$C$644,"计算")</x:f>
        <x:v>0</x:v>
      </x:c>
      <x:c r="U31" s="35" t="n">
        <x:f>COUNTIFS($B$47:$B$644,$A31,$A$47:$A$644,2022,$C$47:$C$644,"计算")</x:f>
        <x:v>0</x:v>
      </x:c>
      <x:c r="V31" s="35" t="n">
        <x:f>COUNTIFS($B$47:$B$644,$A31,$A$47:$A$644,2023,$C$47:$C$644,"计算")</x:f>
        <x:v>0</x:v>
      </x:c>
      <x:c r="W31" s="35" t="n">
        <x:f>COUNTIFS($B$47:$B$644,$A31,$A$47:$A$644,2024,$C$47:$C$644,"计算")</x:f>
        <x:v>0</x:v>
      </x:c>
      <x:c r="X31" s="35" t="n">
        <x:f>COUNTIFS($B$47:$B$644,$A31,$A$47:$A$644,2025,$C$47:$C$644,"计算")</x:f>
        <x:v>0</x:v>
      </x:c>
    </x:row>
    <x:row r="32" ht="32" customHeight="1">
      <x:c r="A32" s="2" t="str">
        <x:v>A2</x:v>
      </x:c>
      <x:c r="B32" s="2" t="str">
        <x:v>双膜理论、控制阻力与传质系数</x:v>
      </x:c>
      <x:c r="C32" s="35" t="n">
        <x:f>COUNTIFS($B$47:$B$644,$A32,$A$47:$A$644,C$6)</x:f>
        <x:v>0</x:v>
      </x:c>
      <x:c r="D32" s="35" t="n">
        <x:f>COUNTIFS($B$47:$B$644,$A32,$A$47:$A$644,D$6)</x:f>
        <x:v>0</x:v>
      </x:c>
      <x:c r="E32" s="35" t="n">
        <x:f>COUNTIFS($B$47:$B$644,$A32,$A$47:$A$644,E$6)</x:f>
        <x:v>0</x:v>
      </x:c>
      <x:c r="F32" s="35" t="n">
        <x:f>COUNTIFS($B$47:$B$644,$A32,$A$47:$A$644,F$6)</x:f>
        <x:v>1</x:v>
      </x:c>
      <x:c r="G32" s="35" t="n">
        <x:f>COUNTIFS($B$47:$B$644,$A32,$A$47:$A$644,G$6)</x:f>
        <x:v>0</x:v>
      </x:c>
      <x:c r="H32" s="35" t="n">
        <x:f>COUNTIFS($B$47:$B$644,$A32,$A$47:$A$644,H$6)</x:f>
        <x:v>1</x:v>
      </x:c>
      <x:c r="I32" s="35" t="n">
        <x:f>COUNTIFS($B$47:$B$644,$A32,$A$47:$A$644,I$6)</x:f>
        <x:v>1</x:v>
      </x:c>
      <x:c r="J32" s="35" t="n">
        <x:f>COUNTIFS($B$47:$B$644,$A32,$A$47:$A$644,J$6)</x:f>
        <x:v>2</x:v>
      </x:c>
      <x:c r="K32" s="35" t="n">
        <x:f>COUNTIFS($B$47:$B$644,$A32,$A$47:$A$644,K$6)</x:f>
        <x:v>2</x:v>
      </x:c>
      <x:c r="L32" s="35" t="n">
        <x:f>COUNTIFS($B$47:$B$644,$A32,$A$47:$A$644,L$6)</x:f>
        <x:v>0</x:v>
      </x:c>
      <x:c r="M32" s="35" t="n">
        <x:f>COUNTIFS($B$47:$B$644,$A32,$A$47:$A$644,M$6)</x:f>
        <x:v>1</x:v>
      </x:c>
      <x:c r="N32" s="35" t="n">
        <x:f>COUNTIFS($B$47:$B$644,$A32,$A$47:$A$644,N$6)</x:f>
        <x:v>0</x:v>
      </x:c>
      <x:c r="O32" s="35" t="n">
        <x:f>COUNTIFS($B$47:$B$644,$A32,$A$47:$A$644,O$6)</x:f>
        <x:v>1</x:v>
      </x:c>
      <x:c r="P32" s="35" t="n">
        <x:f>COUNTIFS($B$47:$B$644,$A32,$A$47:$A$644,P$6)</x:f>
        <x:v>1</x:v>
      </x:c>
      <x:c r="Q32" s="35" t="n">
        <x:f>COUNTIFS($B$47:$B$644,$A32,$A$47:$A$644,Q$6)</x:f>
        <x:v>3</x:v>
      </x:c>
      <x:c r="R32" s="35" t="n">
        <x:f>COUNTIFS($B$47:$B$644,$A32,$A$47:$A$644,R$6)</x:f>
        <x:v>1</x:v>
      </x:c>
      <x:c r="S32" s="35" t="n">
        <x:f>COUNTIFS($B$47:$B$644,$A32,$A$47:$A$644,S$6)</x:f>
        <x:v>0</x:v>
      </x:c>
      <x:c r="T32" s="35" t="n">
        <x:f>COUNTIFS($B$47:$B$644,$A32,$A$47:$A$644,2021,$C$47:$C$644,"计算")</x:f>
        <x:v>0</x:v>
      </x:c>
      <x:c r="U32" s="35" t="n">
        <x:f>COUNTIFS($B$47:$B$644,$A32,$A$47:$A$644,2022,$C$47:$C$644,"计算")</x:f>
        <x:v>0</x:v>
      </x:c>
      <x:c r="V32" s="35" t="n">
        <x:f>COUNTIFS($B$47:$B$644,$A32,$A$47:$A$644,2023,$C$47:$C$644,"计算")</x:f>
        <x:v>0</x:v>
      </x:c>
      <x:c r="W32" s="35" t="n">
        <x:f>COUNTIFS($B$47:$B$644,$A32,$A$47:$A$644,2024,$C$47:$C$644,"计算")</x:f>
        <x:v>1</x:v>
      </x:c>
      <x:c r="X32" s="35" t="n">
        <x:f>COUNTIFS($B$47:$B$644,$A32,$A$47:$A$644,2025,$C$47:$C$644,"计算")</x:f>
        <x:v>0</x:v>
      </x:c>
    </x:row>
    <x:row r="33" ht="32" customHeight="1">
      <x:c r="A33" s="2" t="str">
        <x:v>A3</x:v>
      </x:c>
      <x:c r="B33" s="2" t="str">
        <x:v>物料衡算、操作线与最小液气比</x:v>
      </x:c>
      <x:c r="C33" s="35" t="n">
        <x:f>COUNTIFS($B$47:$B$644,$A33,$A$47:$A$644,C$6)</x:f>
        <x:v>2</x:v>
      </x:c>
      <x:c r="D33" s="35" t="n">
        <x:f>COUNTIFS($B$47:$B$644,$A33,$A$47:$A$644,D$6)</x:f>
        <x:v>2</x:v>
      </x:c>
      <x:c r="E33" s="35" t="n">
        <x:f>COUNTIFS($B$47:$B$644,$A33,$A$47:$A$644,E$6)</x:f>
        <x:v>1</x:v>
      </x:c>
      <x:c r="F33" s="35" t="n">
        <x:f>COUNTIFS($B$47:$B$644,$A33,$A$47:$A$644,F$6)</x:f>
        <x:v>1</x:v>
      </x:c>
      <x:c r="G33" s="35" t="n">
        <x:f>COUNTIFS($B$47:$B$644,$A33,$A$47:$A$644,G$6)</x:f>
        <x:v>1</x:v>
      </x:c>
      <x:c r="H33" s="35" t="n">
        <x:f>COUNTIFS($B$47:$B$644,$A33,$A$47:$A$644,H$6)</x:f>
        <x:v>1</x:v>
      </x:c>
      <x:c r="I33" s="35" t="n">
        <x:f>COUNTIFS($B$47:$B$644,$A33,$A$47:$A$644,I$6)</x:f>
        <x:v>1</x:v>
      </x:c>
      <x:c r="J33" s="35" t="n">
        <x:f>COUNTIFS($B$47:$B$644,$A33,$A$47:$A$644,J$6)</x:f>
        <x:v>3</x:v>
      </x:c>
      <x:c r="K33" s="35" t="n">
        <x:f>COUNTIFS($B$47:$B$644,$A33,$A$47:$A$644,K$6)</x:f>
        <x:v>2</x:v>
      </x:c>
      <x:c r="L33" s="35" t="n">
        <x:f>COUNTIFS($B$47:$B$644,$A33,$A$47:$A$644,L$6)</x:f>
        <x:v>2</x:v>
      </x:c>
      <x:c r="M33" s="35" t="n">
        <x:f>COUNTIFS($B$47:$B$644,$A33,$A$47:$A$644,M$6)</x:f>
        <x:v>1</x:v>
      </x:c>
      <x:c r="N33" s="35" t="n">
        <x:f>COUNTIFS($B$47:$B$644,$A33,$A$47:$A$644,N$6)</x:f>
        <x:v>2</x:v>
      </x:c>
      <x:c r="O33" s="35" t="n">
        <x:f>COUNTIFS($B$47:$B$644,$A33,$A$47:$A$644,O$6)</x:f>
        <x:v>1</x:v>
      </x:c>
      <x:c r="P33" s="35" t="n">
        <x:f>COUNTIFS($B$47:$B$644,$A33,$A$47:$A$644,P$6)</x:f>
        <x:v>2</x:v>
      </x:c>
      <x:c r="Q33" s="35" t="n">
        <x:f>COUNTIFS($B$47:$B$644,$A33,$A$47:$A$644,Q$6)</x:f>
        <x:v>1</x:v>
      </x:c>
      <x:c r="R33" s="35" t="n">
        <x:f>COUNTIFS($B$47:$B$644,$A33,$A$47:$A$644,R$6)</x:f>
        <x:v>2</x:v>
      </x:c>
      <x:c r="S33" s="35" t="n">
        <x:f>COUNTIFS($B$47:$B$644,$A33,$A$47:$A$644,S$6)</x:f>
        <x:v>1</x:v>
      </x:c>
      <x:c r="T33" s="35" t="n">
        <x:f>COUNTIFS($B$47:$B$644,$A33,$A$47:$A$644,2021,$C$47:$C$644,"计算")</x:f>
        <x:v>1</x:v>
      </x:c>
      <x:c r="U33" s="35" t="n">
        <x:f>COUNTIFS($B$47:$B$644,$A33,$A$47:$A$644,2022,$C$47:$C$644,"计算")</x:f>
        <x:v>1</x:v>
      </x:c>
      <x:c r="V33" s="35" t="n">
        <x:f>COUNTIFS($B$47:$B$644,$A33,$A$47:$A$644,2023,$C$47:$C$644,"计算")</x:f>
        <x:v>1</x:v>
      </x:c>
      <x:c r="W33" s="35" t="n">
        <x:f>COUNTIFS($B$47:$B$644,$A33,$A$47:$A$644,2024,$C$47:$C$644,"计算")</x:f>
        <x:v>1</x:v>
      </x:c>
      <x:c r="X33" s="35" t="n">
        <x:f>COUNTIFS($B$47:$B$644,$A33,$A$47:$A$644,2025,$C$47:$C$644,"计算")</x:f>
        <x:v>1</x:v>
      </x:c>
    </x:row>
    <x:row r="34" ht="32" customHeight="1">
      <x:c r="A34" s="2" t="str">
        <x:v>A4</x:v>
      </x:c>
      <x:c r="B34" s="2" t="str">
        <x:v>传质单元、填料高度与理论级</x:v>
      </x:c>
      <x:c r="C34" s="35" t="n">
        <x:f>COUNTIFS($B$47:$B$644,$A34,$A$47:$A$644,C$6)</x:f>
        <x:v>1</x:v>
      </x:c>
      <x:c r="D34" s="35" t="n">
        <x:f>COUNTIFS($B$47:$B$644,$A34,$A$47:$A$644,D$6)</x:f>
        <x:v>2</x:v>
      </x:c>
      <x:c r="E34" s="35" t="n">
        <x:f>COUNTIFS($B$47:$B$644,$A34,$A$47:$A$644,E$6)</x:f>
        <x:v>1</x:v>
      </x:c>
      <x:c r="F34" s="35" t="n">
        <x:f>COUNTIFS($B$47:$B$644,$A34,$A$47:$A$644,F$6)</x:f>
        <x:v>1</x:v>
      </x:c>
      <x:c r="G34" s="35" t="n">
        <x:f>COUNTIFS($B$47:$B$644,$A34,$A$47:$A$644,G$6)</x:f>
        <x:v>2</x:v>
      </x:c>
      <x:c r="H34" s="35" t="n">
        <x:f>COUNTIFS($B$47:$B$644,$A34,$A$47:$A$644,H$6)</x:f>
        <x:v>1</x:v>
      </x:c>
      <x:c r="I34" s="35" t="n">
        <x:f>COUNTIFS($B$47:$B$644,$A34,$A$47:$A$644,I$6)</x:f>
        <x:v>3</x:v>
      </x:c>
      <x:c r="J34" s="35" t="n">
        <x:f>COUNTIFS($B$47:$B$644,$A34,$A$47:$A$644,J$6)</x:f>
        <x:v>1</x:v>
      </x:c>
      <x:c r="K34" s="35" t="n">
        <x:f>COUNTIFS($B$47:$B$644,$A34,$A$47:$A$644,K$6)</x:f>
        <x:v>1</x:v>
      </x:c>
      <x:c r="L34" s="35" t="n">
        <x:f>COUNTIFS($B$47:$B$644,$A34,$A$47:$A$644,L$6)</x:f>
        <x:v>1</x:v>
      </x:c>
      <x:c r="M34" s="35" t="n">
        <x:f>COUNTIFS($B$47:$B$644,$A34,$A$47:$A$644,M$6)</x:f>
        <x:v>1</x:v>
      </x:c>
      <x:c r="N34" s="35" t="n">
        <x:f>COUNTIFS($B$47:$B$644,$A34,$A$47:$A$644,N$6)</x:f>
        <x:v>3</x:v>
      </x:c>
      <x:c r="O34" s="35" t="n">
        <x:f>COUNTIFS($B$47:$B$644,$A34,$A$47:$A$644,O$6)</x:f>
        <x:v>1</x:v>
      </x:c>
      <x:c r="P34" s="35" t="n">
        <x:f>COUNTIFS($B$47:$B$644,$A34,$A$47:$A$644,P$6)</x:f>
        <x:v>3</x:v>
      </x:c>
      <x:c r="Q34" s="35" t="n">
        <x:f>COUNTIFS($B$47:$B$644,$A34,$A$47:$A$644,Q$6)</x:f>
        <x:v>1</x:v>
      </x:c>
      <x:c r="R34" s="35" t="n">
        <x:f>COUNTIFS($B$47:$B$644,$A34,$A$47:$A$644,R$6)</x:f>
        <x:v>1</x:v>
      </x:c>
      <x:c r="S34" s="35" t="n">
        <x:f>COUNTIFS($B$47:$B$644,$A34,$A$47:$A$644,S$6)</x:f>
        <x:v>2</x:v>
      </x:c>
      <x:c r="T34" s="35" t="n">
        <x:f>COUNTIFS($B$47:$B$644,$A34,$A$47:$A$644,2021,$C$47:$C$644,"计算")</x:f>
        <x:v>1</x:v>
      </x:c>
      <x:c r="U34" s="35" t="n">
        <x:f>COUNTIFS($B$47:$B$644,$A34,$A$47:$A$644,2022,$C$47:$C$644,"计算")</x:f>
        <x:v>1</x:v>
      </x:c>
      <x:c r="V34" s="35" t="n">
        <x:f>COUNTIFS($B$47:$B$644,$A34,$A$47:$A$644,2023,$C$47:$C$644,"计算")</x:f>
        <x:v>1</x:v>
      </x:c>
      <x:c r="W34" s="35" t="n">
        <x:f>COUNTIFS($B$47:$B$644,$A34,$A$47:$A$644,2024,$C$47:$C$644,"计算")</x:f>
        <x:v>1</x:v>
      </x:c>
      <x:c r="X34" s="35" t="n">
        <x:f>COUNTIFS($B$47:$B$644,$A34,$A$47:$A$644,2025,$C$47:$C$644,"计算")</x:f>
        <x:v>1</x:v>
      </x:c>
    </x:row>
    <x:row r="35" ht="32" customHeight="1">
      <x:c r="A35" s="2" t="str">
        <x:v>A5</x:v>
      </x:c>
      <x:c r="B35" s="2" t="str">
        <x:v>吸收 / 解吸的操作变化与强化</x:v>
      </x:c>
      <x:c r="C35" s="35" t="n">
        <x:f>COUNTIFS($B$47:$B$644,$A35,$A$47:$A$644,C$6)</x:f>
        <x:v>2</x:v>
      </x:c>
      <x:c r="D35" s="35" t="n">
        <x:f>COUNTIFS($B$47:$B$644,$A35,$A$47:$A$644,D$6)</x:f>
        <x:v>1</x:v>
      </x:c>
      <x:c r="E35" s="35" t="n">
        <x:f>COUNTIFS($B$47:$B$644,$A35,$A$47:$A$644,E$6)</x:f>
        <x:v>1</x:v>
      </x:c>
      <x:c r="F35" s="35" t="n">
        <x:f>COUNTIFS($B$47:$B$644,$A35,$A$47:$A$644,F$6)</x:f>
        <x:v>2</x:v>
      </x:c>
      <x:c r="G35" s="35" t="n">
        <x:f>COUNTIFS($B$47:$B$644,$A35,$A$47:$A$644,G$6)</x:f>
        <x:v>3</x:v>
      </x:c>
      <x:c r="H35" s="35" t="n">
        <x:f>COUNTIFS($B$47:$B$644,$A35,$A$47:$A$644,H$6)</x:f>
        <x:v>2</x:v>
      </x:c>
      <x:c r="I35" s="35" t="n">
        <x:f>COUNTIFS($B$47:$B$644,$A35,$A$47:$A$644,I$6)</x:f>
        <x:v>3</x:v>
      </x:c>
      <x:c r="J35" s="35" t="n">
        <x:f>COUNTIFS($B$47:$B$644,$A35,$A$47:$A$644,J$6)</x:f>
        <x:v>1</x:v>
      </x:c>
      <x:c r="K35" s="35" t="n">
        <x:f>COUNTIFS($B$47:$B$644,$A35,$A$47:$A$644,K$6)</x:f>
        <x:v>3</x:v>
      </x:c>
      <x:c r="L35" s="35" t="n">
        <x:f>COUNTIFS($B$47:$B$644,$A35,$A$47:$A$644,L$6)</x:f>
        <x:v>1</x:v>
      </x:c>
      <x:c r="M35" s="35" t="n">
        <x:f>COUNTIFS($B$47:$B$644,$A35,$A$47:$A$644,M$6)</x:f>
        <x:v>1</x:v>
      </x:c>
      <x:c r="N35" s="35" t="n">
        <x:f>COUNTIFS($B$47:$B$644,$A35,$A$47:$A$644,N$6)</x:f>
        <x:v>2</x:v>
      </x:c>
      <x:c r="O35" s="35" t="n">
        <x:f>COUNTIFS($B$47:$B$644,$A35,$A$47:$A$644,O$6)</x:f>
        <x:v>0</x:v>
      </x:c>
      <x:c r="P35" s="35" t="n">
        <x:f>COUNTIFS($B$47:$B$644,$A35,$A$47:$A$644,P$6)</x:f>
        <x:v>3</x:v>
      </x:c>
      <x:c r="Q35" s="35" t="n">
        <x:f>COUNTIFS($B$47:$B$644,$A35,$A$47:$A$644,Q$6)</x:f>
        <x:v>1</x:v>
      </x:c>
      <x:c r="R35" s="35" t="n">
        <x:f>COUNTIFS($B$47:$B$644,$A35,$A$47:$A$644,R$6)</x:f>
        <x:v>0</x:v>
      </x:c>
      <x:c r="S35" s="35" t="n">
        <x:f>COUNTIFS($B$47:$B$644,$A35,$A$47:$A$644,S$6)</x:f>
        <x:v>3</x:v>
      </x:c>
      <x:c r="T35" s="35" t="n">
        <x:f>COUNTIFS($B$47:$B$644,$A35,$A$47:$A$644,2021,$C$47:$C$644,"计算")</x:f>
        <x:v>0</x:v>
      </x:c>
      <x:c r="U35" s="35" t="n">
        <x:f>COUNTIFS($B$47:$B$644,$A35,$A$47:$A$644,2022,$C$47:$C$644,"计算")</x:f>
        <x:v>1</x:v>
      </x:c>
      <x:c r="V35" s="35" t="n">
        <x:f>COUNTIFS($B$47:$B$644,$A35,$A$47:$A$644,2023,$C$47:$C$644,"计算")</x:f>
        <x:v>0</x:v>
      </x:c>
      <x:c r="W35" s="35" t="n">
        <x:f>COUNTIFS($B$47:$B$644,$A35,$A$47:$A$644,2024,$C$47:$C$644,"计算")</x:f>
        <x:v>0</x:v>
      </x:c>
      <x:c r="X35" s="35" t="n">
        <x:f>COUNTIFS($B$47:$B$644,$A35,$A$47:$A$644,2025,$C$47:$C$644,"计算")</x:f>
        <x:v>1</x:v>
      </x:c>
    </x:row>
    <x:row r="36" ht="32" customHeight="1">
      <x:c r="A36" s="2" t="str">
        <x:v>X1</x:v>
      </x:c>
      <x:c r="B36" s="2" t="str">
        <x:v>选择性、分配系数与单级萃取</x:v>
      </x:c>
      <x:c r="C36" s="35" t="n">
        <x:f>COUNTIFS($B$47:$B$644,$A36,$A$47:$A$644,C$6)</x:f>
        <x:v>1</x:v>
      </x:c>
      <x:c r="D36" s="35" t="n">
        <x:f>COUNTIFS($B$47:$B$644,$A36,$A$47:$A$644,D$6)</x:f>
        <x:v>1</x:v>
      </x:c>
      <x:c r="E36" s="35" t="n">
        <x:f>COUNTIFS($B$47:$B$644,$A36,$A$47:$A$644,E$6)</x:f>
        <x:v>1</x:v>
      </x:c>
      <x:c r="F36" s="35" t="n">
        <x:f>COUNTIFS($B$47:$B$644,$A36,$A$47:$A$644,F$6)</x:f>
        <x:v>1</x:v>
      </x:c>
      <x:c r="G36" s="35" t="n">
        <x:f>COUNTIFS($B$47:$B$644,$A36,$A$47:$A$644,G$6)</x:f>
        <x:v>1</x:v>
      </x:c>
      <x:c r="H36" s="35" t="n">
        <x:f>COUNTIFS($B$47:$B$644,$A36,$A$47:$A$644,H$6)</x:f>
        <x:v>1</x:v>
      </x:c>
      <x:c r="I36" s="35" t="n">
        <x:f>COUNTIFS($B$47:$B$644,$A36,$A$47:$A$644,I$6)</x:f>
        <x:v>1</x:v>
      </x:c>
      <x:c r="J36" s="35" t="n">
        <x:f>COUNTIFS($B$47:$B$644,$A36,$A$47:$A$644,J$6)</x:f>
        <x:v>1</x:v>
      </x:c>
      <x:c r="K36" s="35" t="n">
        <x:f>COUNTIFS($B$47:$B$644,$A36,$A$47:$A$644,K$6)</x:f>
        <x:v>1</x:v>
      </x:c>
      <x:c r="L36" s="35" t="n">
        <x:f>COUNTIFS($B$47:$B$644,$A36,$A$47:$A$644,L$6)</x:f>
        <x:v>1</x:v>
      </x:c>
      <x:c r="M36" s="35" t="n">
        <x:f>COUNTIFS($B$47:$B$644,$A36,$A$47:$A$644,M$6)</x:f>
        <x:v>2</x:v>
      </x:c>
      <x:c r="N36" s="35" t="n">
        <x:f>COUNTIFS($B$47:$B$644,$A36,$A$47:$A$644,N$6)</x:f>
        <x:v>2</x:v>
      </x:c>
      <x:c r="O36" s="35" t="n">
        <x:f>COUNTIFS($B$47:$B$644,$A36,$A$47:$A$644,O$6)</x:f>
        <x:v>0</x:v>
      </x:c>
      <x:c r="P36" s="35" t="n">
        <x:f>COUNTIFS($B$47:$B$644,$A36,$A$47:$A$644,P$6)</x:f>
        <x:v>1</x:v>
      </x:c>
      <x:c r="Q36" s="35" t="n">
        <x:f>COUNTIFS($B$47:$B$644,$A36,$A$47:$A$644,Q$6)</x:f>
        <x:v>0</x:v>
      </x:c>
      <x:c r="R36" s="35" t="n">
        <x:f>COUNTIFS($B$47:$B$644,$A36,$A$47:$A$644,R$6)</x:f>
        <x:v>1</x:v>
      </x:c>
      <x:c r="S36" s="35" t="n">
        <x:f>COUNTIFS($B$47:$B$644,$A36,$A$47:$A$644,S$6)</x:f>
        <x:v>1</x:v>
      </x:c>
      <x:c r="T36" s="35" t="n">
        <x:f>COUNTIFS($B$47:$B$644,$A36,$A$47:$A$644,2021,$C$47:$C$644,"计算")</x:f>
        <x:v>0</x:v>
      </x:c>
      <x:c r="U36" s="35" t="n">
        <x:f>COUNTIFS($B$47:$B$644,$A36,$A$47:$A$644,2022,$C$47:$C$644,"计算")</x:f>
        <x:v>0</x:v>
      </x:c>
      <x:c r="V36" s="35" t="n">
        <x:f>COUNTIFS($B$47:$B$644,$A36,$A$47:$A$644,2023,$C$47:$C$644,"计算")</x:f>
        <x:v>0</x:v>
      </x:c>
      <x:c r="W36" s="35" t="n">
        <x:f>COUNTIFS($B$47:$B$644,$A36,$A$47:$A$644,2024,$C$47:$C$644,"计算")</x:f>
        <x:v>0</x:v>
      </x:c>
      <x:c r="X36" s="35" t="n">
        <x:f>COUNTIFS($B$47:$B$644,$A36,$A$47:$A$644,2025,$C$47:$C$644,"计算")</x:f>
        <x:v>0</x:v>
      </x:c>
    </x:row>
    <x:row r="37" ht="32" customHeight="1">
      <x:c r="A37" s="2" t="str">
        <x:v>T1</x:v>
      </x:c>
      <x:c r="B37" s="2" t="str">
        <x:v>板式 / 填料塔、液泛与负荷图</x:v>
      </x:c>
      <x:c r="C37" s="35" t="n">
        <x:f>COUNTIFS($B$47:$B$644,$A37,$A$47:$A$644,C$6)</x:f>
        <x:v>0</x:v>
      </x:c>
      <x:c r="D37" s="35" t="n">
        <x:f>COUNTIFS($B$47:$B$644,$A37,$A$47:$A$644,D$6)</x:f>
        <x:v>1</x:v>
      </x:c>
      <x:c r="E37" s="35" t="n">
        <x:f>COUNTIFS($B$47:$B$644,$A37,$A$47:$A$644,E$6)</x:f>
        <x:v>2</x:v>
      </x:c>
      <x:c r="F37" s="35" t="n">
        <x:f>COUNTIFS($B$47:$B$644,$A37,$A$47:$A$644,F$6)</x:f>
        <x:v>1</x:v>
      </x:c>
      <x:c r="G37" s="35" t="n">
        <x:f>COUNTIFS($B$47:$B$644,$A37,$A$47:$A$644,G$6)</x:f>
        <x:v>1</x:v>
      </x:c>
      <x:c r="H37" s="35" t="n">
        <x:f>COUNTIFS($B$47:$B$644,$A37,$A$47:$A$644,H$6)</x:f>
        <x:v>1</x:v>
      </x:c>
      <x:c r="I37" s="35" t="n">
        <x:f>COUNTIFS($B$47:$B$644,$A37,$A$47:$A$644,I$6)</x:f>
        <x:v>1</x:v>
      </x:c>
      <x:c r="J37" s="35" t="n">
        <x:f>COUNTIFS($B$47:$B$644,$A37,$A$47:$A$644,J$6)</x:f>
        <x:v>1</x:v>
      </x:c>
      <x:c r="K37" s="35" t="n">
        <x:f>COUNTIFS($B$47:$B$644,$A37,$A$47:$A$644,K$6)</x:f>
        <x:v>1</x:v>
      </x:c>
      <x:c r="L37" s="35" t="n">
        <x:f>COUNTIFS($B$47:$B$644,$A37,$A$47:$A$644,L$6)</x:f>
        <x:v>1</x:v>
      </x:c>
      <x:c r="M37" s="35" t="n">
        <x:f>COUNTIFS($B$47:$B$644,$A37,$A$47:$A$644,M$6)</x:f>
        <x:v>1</x:v>
      </x:c>
      <x:c r="N37" s="35" t="n">
        <x:f>COUNTIFS($B$47:$B$644,$A37,$A$47:$A$644,N$6)</x:f>
        <x:v>0</x:v>
      </x:c>
      <x:c r="O37" s="35" t="n">
        <x:f>COUNTIFS($B$47:$B$644,$A37,$A$47:$A$644,O$6)</x:f>
        <x:v>1</x:v>
      </x:c>
      <x:c r="P37" s="35" t="n">
        <x:f>COUNTIFS($B$47:$B$644,$A37,$A$47:$A$644,P$6)</x:f>
        <x:v>1</x:v>
      </x:c>
      <x:c r="Q37" s="35" t="n">
        <x:f>COUNTIFS($B$47:$B$644,$A37,$A$47:$A$644,Q$6)</x:f>
        <x:v>2</x:v>
      </x:c>
      <x:c r="R37" s="35" t="n">
        <x:f>COUNTIFS($B$47:$B$644,$A37,$A$47:$A$644,R$6)</x:f>
        <x:v>1</x:v>
      </x:c>
      <x:c r="S37" s="35" t="n">
        <x:f>COUNTIFS($B$47:$B$644,$A37,$A$47:$A$644,S$6)</x:f>
        <x:v>1</x:v>
      </x:c>
      <x:c r="T37" s="35" t="n">
        <x:f>COUNTIFS($B$47:$B$644,$A37,$A$47:$A$644,2021,$C$47:$C$644,"计算")</x:f>
        <x:v>0</x:v>
      </x:c>
      <x:c r="U37" s="35" t="n">
        <x:f>COUNTIFS($B$47:$B$644,$A37,$A$47:$A$644,2022,$C$47:$C$644,"计算")</x:f>
        <x:v>0</x:v>
      </x:c>
      <x:c r="V37" s="35" t="n">
        <x:f>COUNTIFS($B$47:$B$644,$A37,$A$47:$A$644,2023,$C$47:$C$644,"计算")</x:f>
        <x:v>0</x:v>
      </x:c>
      <x:c r="W37" s="35" t="n">
        <x:f>COUNTIFS($B$47:$B$644,$A37,$A$47:$A$644,2024,$C$47:$C$644,"计算")</x:f>
        <x:v>0</x:v>
      </x:c>
      <x:c r="X37" s="35" t="n">
        <x:f>COUNTIFS($B$47:$B$644,$A37,$A$47:$A$644,2025,$C$47:$C$644,"计算")</x:f>
        <x:v>0</x:v>
      </x:c>
    </x:row>
    <x:row r="38" ht="32" customHeight="1">
      <x:c r="A38" s="2" t="str">
        <x:v>O1</x:v>
      </x:c>
      <x:c r="B38" s="2" t="str">
        <x:v>热辐射</x:v>
      </x:c>
      <x:c r="C38" s="35" t="n">
        <x:f>COUNTIFS($B$47:$B$644,$A38,$A$47:$A$644,C$6)</x:f>
        <x:v>1</x:v>
      </x:c>
      <x:c r="D38" s="35" t="n">
        <x:f>COUNTIFS($B$47:$B$644,$A38,$A$47:$A$644,D$6)</x:f>
        <x:v>1</x:v>
      </x:c>
      <x:c r="E38" s="35" t="n">
        <x:f>COUNTIFS($B$47:$B$644,$A38,$A$47:$A$644,E$6)</x:f>
        <x:v>1</x:v>
      </x:c>
      <x:c r="F38" s="35" t="n">
        <x:f>COUNTIFS($B$47:$B$644,$A38,$A$47:$A$644,F$6)</x:f>
        <x:v>0</x:v>
      </x:c>
      <x:c r="G38" s="35" t="n">
        <x:f>COUNTIFS($B$47:$B$644,$A38,$A$47:$A$644,G$6)</x:f>
        <x:v>0</x:v>
      </x:c>
      <x:c r="H38" s="35" t="n">
        <x:f>COUNTIFS($B$47:$B$644,$A38,$A$47:$A$644,H$6)</x:f>
        <x:v>0</x:v>
      </x:c>
      <x:c r="I38" s="35" t="n">
        <x:f>COUNTIFS($B$47:$B$644,$A38,$A$47:$A$644,I$6)</x:f>
        <x:v>0</x:v>
      </x:c>
      <x:c r="J38" s="35" t="n">
        <x:f>COUNTIFS($B$47:$B$644,$A38,$A$47:$A$644,J$6)</x:f>
        <x:v>1</x:v>
      </x:c>
      <x:c r="K38" s="35" t="n">
        <x:f>COUNTIFS($B$47:$B$644,$A38,$A$47:$A$644,K$6)</x:f>
        <x:v>1</x:v>
      </x:c>
      <x:c r="L38" s="35" t="n">
        <x:f>COUNTIFS($B$47:$B$644,$A38,$A$47:$A$644,L$6)</x:f>
        <x:v>1</x:v>
      </x:c>
      <x:c r="M38" s="35" t="n">
        <x:f>COUNTIFS($B$47:$B$644,$A38,$A$47:$A$644,M$6)</x:f>
        <x:v>2</x:v>
      </x:c>
      <x:c r="N38" s="35" t="n">
        <x:f>COUNTIFS($B$47:$B$644,$A38,$A$47:$A$644,N$6)</x:f>
        <x:v>1</x:v>
      </x:c>
      <x:c r="O38" s="35" t="n">
        <x:f>COUNTIFS($B$47:$B$644,$A38,$A$47:$A$644,O$6)</x:f>
        <x:v>0</x:v>
      </x:c>
      <x:c r="P38" s="35" t="n">
        <x:f>COUNTIFS($B$47:$B$644,$A38,$A$47:$A$644,P$6)</x:f>
        <x:v>1</x:v>
      </x:c>
      <x:c r="Q38" s="35" t="n">
        <x:f>COUNTIFS($B$47:$B$644,$A38,$A$47:$A$644,Q$6)</x:f>
        <x:v>0</x:v>
      </x:c>
      <x:c r="R38" s="35" t="n">
        <x:f>COUNTIFS($B$47:$B$644,$A38,$A$47:$A$644,R$6)</x:f>
        <x:v>0</x:v>
      </x:c>
      <x:c r="S38" s="35" t="n">
        <x:f>COUNTIFS($B$47:$B$644,$A38,$A$47:$A$644,S$6)</x:f>
        <x:v>0</x:v>
      </x:c>
      <x:c r="T38" s="35" t="n">
        <x:f>COUNTIFS($B$47:$B$644,$A38,$A$47:$A$644,2021,$C$47:$C$644,"计算")</x:f>
        <x:v>0</x:v>
      </x:c>
      <x:c r="U38" s="35" t="n">
        <x:f>COUNTIFS($B$47:$B$644,$A38,$A$47:$A$644,2022,$C$47:$C$644,"计算")</x:f>
        <x:v>0</x:v>
      </x:c>
      <x:c r="V38" s="35" t="n">
        <x:f>COUNTIFS($B$47:$B$644,$A38,$A$47:$A$644,2023,$C$47:$C$644,"计算")</x:f>
        <x:v>0</x:v>
      </x:c>
      <x:c r="W38" s="35" t="n">
        <x:f>COUNTIFS($B$47:$B$644,$A38,$A$47:$A$644,2024,$C$47:$C$644,"计算")</x:f>
        <x:v>0</x:v>
      </x:c>
      <x:c r="X38" s="35" t="n">
        <x:f>COUNTIFS($B$47:$B$644,$A38,$A$47:$A$644,2025,$C$47:$C$644,"计算")</x:f>
        <x:v>0</x:v>
      </x:c>
    </x:row>
    <x:row r="39" ht="32" customHeight="1">
      <x:c r="A39" s="2" t="str">
        <x:v>O2</x:v>
      </x:c>
      <x:c r="B39" s="2" t="str">
        <x:v>干燥与湿空气</x:v>
      </x:c>
      <x:c r="C39" s="35" t="n">
        <x:f>COUNTIFS($B$47:$B$644,$A39,$A$47:$A$644,C$6)</x:f>
        <x:v>0</x:v>
      </x:c>
      <x:c r="D39" s="35" t="n">
        <x:f>COUNTIFS($B$47:$B$644,$A39,$A$47:$A$644,D$6)</x:f>
        <x:v>0</x:v>
      </x:c>
      <x:c r="E39" s="35" t="n">
        <x:f>COUNTIFS($B$47:$B$644,$A39,$A$47:$A$644,E$6)</x:f>
        <x:v>0</x:v>
      </x:c>
      <x:c r="F39" s="35" t="n">
        <x:f>COUNTIFS($B$47:$B$644,$A39,$A$47:$A$644,F$6)</x:f>
        <x:v>0</x:v>
      </x:c>
      <x:c r="G39" s="35" t="n">
        <x:f>COUNTIFS($B$47:$B$644,$A39,$A$47:$A$644,G$6)</x:f>
        <x:v>0</x:v>
      </x:c>
      <x:c r="H39" s="35" t="n">
        <x:f>COUNTIFS($B$47:$B$644,$A39,$A$47:$A$644,H$6)</x:f>
        <x:v>0</x:v>
      </x:c>
      <x:c r="I39" s="35" t="n">
        <x:f>COUNTIFS($B$47:$B$644,$A39,$A$47:$A$644,I$6)</x:f>
        <x:v>0</x:v>
      </x:c>
      <x:c r="J39" s="35" t="n">
        <x:f>COUNTIFS($B$47:$B$644,$A39,$A$47:$A$644,J$6)</x:f>
        <x:v>0</x:v>
      </x:c>
      <x:c r="K39" s="35" t="n">
        <x:f>COUNTIFS($B$47:$B$644,$A39,$A$47:$A$644,K$6)</x:f>
        <x:v>0</x:v>
      </x:c>
      <x:c r="L39" s="35" t="n">
        <x:f>COUNTIFS($B$47:$B$644,$A39,$A$47:$A$644,L$6)</x:f>
        <x:v>0</x:v>
      </x:c>
      <x:c r="M39" s="35" t="n">
        <x:f>COUNTIFS($B$47:$B$644,$A39,$A$47:$A$644,M$6)</x:f>
        <x:v>0</x:v>
      </x:c>
      <x:c r="N39" s="35" t="n">
        <x:f>COUNTIFS($B$47:$B$644,$A39,$A$47:$A$644,N$6)</x:f>
        <x:v>1</x:v>
      </x:c>
      <x:c r="O39" s="35" t="n">
        <x:f>COUNTIFS($B$47:$B$644,$A39,$A$47:$A$644,O$6)</x:f>
        <x:v>2</x:v>
      </x:c>
      <x:c r="P39" s="35" t="n">
        <x:f>COUNTIFS($B$47:$B$644,$A39,$A$47:$A$644,P$6)</x:f>
        <x:v>0</x:v>
      </x:c>
      <x:c r="Q39" s="35" t="n">
        <x:f>COUNTIFS($B$47:$B$644,$A39,$A$47:$A$644,Q$6)</x:f>
        <x:v>0</x:v>
      </x:c>
      <x:c r="R39" s="35" t="n">
        <x:f>COUNTIFS($B$47:$B$644,$A39,$A$47:$A$644,R$6)</x:f>
        <x:v>0</x:v>
      </x:c>
      <x:c r="S39" s="35" t="n">
        <x:f>COUNTIFS($B$47:$B$644,$A39,$A$47:$A$644,S$6)</x:f>
        <x:v>0</x:v>
      </x:c>
      <x:c r="T39" s="35" t="n">
        <x:f>COUNTIFS($B$47:$B$644,$A39,$A$47:$A$644,2021,$C$47:$C$644,"计算")</x:f>
        <x:v>0</x:v>
      </x:c>
      <x:c r="U39" s="35" t="n">
        <x:f>COUNTIFS($B$47:$B$644,$A39,$A$47:$A$644,2022,$C$47:$C$644,"计算")</x:f>
        <x:v>0</x:v>
      </x:c>
      <x:c r="V39" s="35" t="n">
        <x:f>COUNTIFS($B$47:$B$644,$A39,$A$47:$A$644,2023,$C$47:$C$644,"计算")</x:f>
        <x:v>0</x:v>
      </x:c>
      <x:c r="W39" s="35" t="n">
        <x:f>COUNTIFS($B$47:$B$644,$A39,$A$47:$A$644,2024,$C$47:$C$644,"计算")</x:f>
        <x:v>0</x:v>
      </x:c>
      <x:c r="X39" s="35" t="n">
        <x:f>COUNTIFS($B$47:$B$644,$A39,$A$47:$A$644,2025,$C$47:$C$644,"计算")</x:f>
        <x:v>0</x:v>
      </x:c>
    </x:row>
    <x:row r="40" ht="32" customHeight="1">
      <x:c r="A40" s="2" t="str">
        <x:v>O3</x:v>
      </x:c>
      <x:c r="B40" s="2" t="str">
        <x:v>压缩机、结晶等历史内容</x:v>
      </x:c>
      <x:c r="C40" s="35" t="n">
        <x:f>COUNTIFS($B$47:$B$644,$A40,$A$47:$A$644,C$6)</x:f>
        <x:v>1</x:v>
      </x:c>
      <x:c r="D40" s="35" t="n">
        <x:f>COUNTIFS($B$47:$B$644,$A40,$A$47:$A$644,D$6)</x:f>
        <x:v>0</x:v>
      </x:c>
      <x:c r="E40" s="35" t="n">
        <x:f>COUNTIFS($B$47:$B$644,$A40,$A$47:$A$644,E$6)</x:f>
        <x:v>0</x:v>
      </x:c>
      <x:c r="F40" s="35" t="n">
        <x:f>COUNTIFS($B$47:$B$644,$A40,$A$47:$A$644,F$6)</x:f>
        <x:v>0</x:v>
      </x:c>
      <x:c r="G40" s="35" t="n">
        <x:f>COUNTIFS($B$47:$B$644,$A40,$A$47:$A$644,G$6)</x:f>
        <x:v>0</x:v>
      </x:c>
      <x:c r="H40" s="35" t="n">
        <x:f>COUNTIFS($B$47:$B$644,$A40,$A$47:$A$644,H$6)</x:f>
        <x:v>0</x:v>
      </x:c>
      <x:c r="I40" s="35" t="n">
        <x:f>COUNTIFS($B$47:$B$644,$A40,$A$47:$A$644,I$6)</x:f>
        <x:v>0</x:v>
      </x:c>
      <x:c r="J40" s="35" t="n">
        <x:f>COUNTIFS($B$47:$B$644,$A40,$A$47:$A$644,J$6)</x:f>
        <x:v>0</x:v>
      </x:c>
      <x:c r="K40" s="35" t="n">
        <x:f>COUNTIFS($B$47:$B$644,$A40,$A$47:$A$644,K$6)</x:f>
        <x:v>0</x:v>
      </x:c>
      <x:c r="L40" s="35" t="n">
        <x:f>COUNTIFS($B$47:$B$644,$A40,$A$47:$A$644,L$6)</x:f>
        <x:v>0</x:v>
      </x:c>
      <x:c r="M40" s="35" t="n">
        <x:f>COUNTIFS($B$47:$B$644,$A40,$A$47:$A$644,M$6)</x:f>
        <x:v>2</x:v>
      </x:c>
      <x:c r="N40" s="35" t="n">
        <x:f>COUNTIFS($B$47:$B$644,$A40,$A$47:$A$644,N$6)</x:f>
        <x:v>0</x:v>
      </x:c>
      <x:c r="O40" s="35" t="n">
        <x:f>COUNTIFS($B$47:$B$644,$A40,$A$47:$A$644,O$6)</x:f>
        <x:v>0</x:v>
      </x:c>
      <x:c r="P40" s="35" t="n">
        <x:f>COUNTIFS($B$47:$B$644,$A40,$A$47:$A$644,P$6)</x:f>
        <x:v>0</x:v>
      </x:c>
      <x:c r="Q40" s="35" t="n">
        <x:f>COUNTIFS($B$47:$B$644,$A40,$A$47:$A$644,Q$6)</x:f>
        <x:v>0</x:v>
      </x:c>
      <x:c r="R40" s="35" t="n">
        <x:f>COUNTIFS($B$47:$B$644,$A40,$A$47:$A$644,R$6)</x:f>
        <x:v>0</x:v>
      </x:c>
      <x:c r="S40" s="35" t="n">
        <x:f>COUNTIFS($B$47:$B$644,$A40,$A$47:$A$644,S$6)</x:f>
        <x:v>0</x:v>
      </x:c>
      <x:c r="T40" s="35" t="n">
        <x:f>COUNTIFS($B$47:$B$644,$A40,$A$47:$A$644,2021,$C$47:$C$644,"计算")</x:f>
        <x:v>0</x:v>
      </x:c>
      <x:c r="U40" s="35" t="n">
        <x:f>COUNTIFS($B$47:$B$644,$A40,$A$47:$A$644,2022,$C$47:$C$644,"计算")</x:f>
        <x:v>0</x:v>
      </x:c>
      <x:c r="V40" s="35" t="n">
        <x:f>COUNTIFS($B$47:$B$644,$A40,$A$47:$A$644,2023,$C$47:$C$644,"计算")</x:f>
        <x:v>0</x:v>
      </x:c>
      <x:c r="W40" s="35" t="n">
        <x:f>COUNTIFS($B$47:$B$644,$A40,$A$47:$A$644,2024,$C$47:$C$644,"计算")</x:f>
        <x:v>0</x:v>
      </x:c>
      <x:c r="X40" s="35" t="n">
        <x:f>COUNTIFS($B$47:$B$644,$A40,$A$47:$A$644,2025,$C$47:$C$644,"计算")</x:f>
        <x:v>0</x:v>
      </x:c>
    </x:row>
    <x:row r="44">
      <x:c r="A44" t="str">
        <x:v>考频计数依据：每道题、每个关联知识点一行</x:v>
      </x:c>
    </x:row>
    <x:row r="46" ht="32" customHeight="1">
      <x:c r="A46" s="12" t="str">
        <x:v>年份</x:v>
      </x:c>
      <x:c r="B46" s="13" t="str">
        <x:v>知识点代码</x:v>
      </x:c>
      <x:c r="C46" s="13" t="str">
        <x:v>题型</x:v>
      </x:c>
      <x:c r="D46" s="14" t="str">
        <x:v>原题编号</x:v>
      </x:c>
    </x:row>
    <x:row r="47" ht="22" customHeight="1">
      <x:c r="A47" s="1" t="n">
        <x:v>1999</x:v>
      </x:c>
      <x:c r="B47" s="1" t="str">
        <x:v>F3</x:v>
      </x:c>
      <x:c r="C47" s="1" t="str">
        <x:v>填空</x:v>
      </x:c>
      <x:c r="D47" s="1" t="str">
        <x:v>1999-一-01</x:v>
      </x:c>
    </x:row>
    <x:row r="48" ht="22" customHeight="1">
      <x:c r="A48" s="1" t="n">
        <x:v>1999</x:v>
      </x:c>
      <x:c r="B48" s="1" t="str">
        <x:v>F5</x:v>
      </x:c>
      <x:c r="C48" s="1" t="str">
        <x:v>填空</x:v>
      </x:c>
      <x:c r="D48" s="1" t="str">
        <x:v>1999-一-02</x:v>
      </x:c>
    </x:row>
    <x:row r="49" ht="22" customHeight="1">
      <x:c r="A49" s="1" t="n">
        <x:v>1999</x:v>
      </x:c>
      <x:c r="B49" s="1" t="str">
        <x:v>B1</x:v>
      </x:c>
      <x:c r="C49" s="1" t="str">
        <x:v>填空</x:v>
      </x:c>
      <x:c r="D49" s="1" t="str">
        <x:v>1999-一-03</x:v>
      </x:c>
    </x:row>
    <x:row r="50" ht="22" customHeight="1">
      <x:c r="A50" s="1" t="n">
        <x:v>1999</x:v>
      </x:c>
      <x:c r="B50" s="1" t="str">
        <x:v>O3</x:v>
      </x:c>
      <x:c r="C50" s="1" t="str">
        <x:v>填空</x:v>
      </x:c>
      <x:c r="D50" s="1" t="str">
        <x:v>1999-一-04</x:v>
      </x:c>
    </x:row>
    <x:row r="51" ht="22" customHeight="1">
      <x:c r="A51" s="1" t="n">
        <x:v>1999</x:v>
      </x:c>
      <x:c r="B51" s="1" t="str">
        <x:v>O1</x:v>
      </x:c>
      <x:c r="C51" s="1" t="str">
        <x:v>填空</x:v>
      </x:c>
      <x:c r="D51" s="1" t="str">
        <x:v>1999-一-05</x:v>
      </x:c>
    </x:row>
    <x:row r="52" ht="22" customHeight="1">
      <x:c r="A52" s="1" t="n">
        <x:v>1999</x:v>
      </x:c>
      <x:c r="B52" s="1" t="str">
        <x:v>X1</x:v>
      </x:c>
      <x:c r="C52" s="1" t="str">
        <x:v>填空</x:v>
      </x:c>
      <x:c r="D52" s="1" t="str">
        <x:v>1999-一-06</x:v>
      </x:c>
    </x:row>
    <x:row r="53" ht="22" customHeight="1">
      <x:c r="A53" s="1" t="n">
        <x:v>1999</x:v>
      </x:c>
      <x:c r="B53" s="1" t="str">
        <x:v>M1</x:v>
      </x:c>
      <x:c r="C53" s="1" t="str">
        <x:v>填空</x:v>
      </x:c>
      <x:c r="D53" s="1" t="str">
        <x:v>1999-一-07</x:v>
      </x:c>
    </x:row>
    <x:row r="54" ht="22" customHeight="1">
      <x:c r="A54" s="1" t="n">
        <x:v>1999</x:v>
      </x:c>
      <x:c r="B54" s="1" t="str">
        <x:v>A3</x:v>
      </x:c>
      <x:c r="C54" s="1" t="str">
        <x:v>填空</x:v>
      </x:c>
      <x:c r="D54" s="1" t="str">
        <x:v>1999-一-08</x:v>
      </x:c>
    </x:row>
    <x:row r="55" ht="22" customHeight="1">
      <x:c r="A55" s="1" t="n">
        <x:v>1999</x:v>
      </x:c>
      <x:c r="B55" s="1" t="str">
        <x:v>A1</x:v>
      </x:c>
      <x:c r="C55" s="1" t="str">
        <x:v>填空</x:v>
      </x:c>
      <x:c r="D55" s="1" t="str">
        <x:v>1999-一-08</x:v>
      </x:c>
    </x:row>
    <x:row r="56" ht="22" customHeight="1">
      <x:c r="A56" s="1" t="n">
        <x:v>1999</x:v>
      </x:c>
      <x:c r="B56" s="1" t="str">
        <x:v>A5</x:v>
      </x:c>
      <x:c r="C56" s="1" t="str">
        <x:v>填空</x:v>
      </x:c>
      <x:c r="D56" s="1" t="str">
        <x:v>1999-一-08</x:v>
      </x:c>
    </x:row>
    <x:row r="57" ht="22" customHeight="1">
      <x:c r="A57" s="1" t="n">
        <x:v>1999</x:v>
      </x:c>
      <x:c r="B57" s="1" t="str">
        <x:v>D5</x:v>
      </x:c>
      <x:c r="C57" s="1" t="str">
        <x:v>填空</x:v>
      </x:c>
      <x:c r="D57" s="1" t="str">
        <x:v>1999-一-09</x:v>
      </x:c>
    </x:row>
    <x:row r="58" ht="22" customHeight="1">
      <x:c r="A58" s="1" t="n">
        <x:v>1999</x:v>
      </x:c>
      <x:c r="B58" s="1" t="str">
        <x:v>P1</x:v>
      </x:c>
      <x:c r="C58" s="1" t="str">
        <x:v>计算</x:v>
      </x:c>
      <x:c r="D58" s="1" t="str">
        <x:v>1999-二</x:v>
      </x:c>
    </x:row>
    <x:row r="59" ht="22" customHeight="1">
      <x:c r="A59" s="1" t="n">
        <x:v>1999</x:v>
      </x:c>
      <x:c r="B59" s="1" t="str">
        <x:v>F2</x:v>
      </x:c>
      <x:c r="C59" s="1" t="str">
        <x:v>计算</x:v>
      </x:c>
      <x:c r="D59" s="1" t="str">
        <x:v>1999-二</x:v>
      </x:c>
    </x:row>
    <x:row r="60" ht="22" customHeight="1">
      <x:c r="A60" s="1" t="n">
        <x:v>1999</x:v>
      </x:c>
      <x:c r="B60" s="1" t="str">
        <x:v>F1</x:v>
      </x:c>
      <x:c r="C60" s="1" t="str">
        <x:v>计算</x:v>
      </x:c>
      <x:c r="D60" s="1" t="str">
        <x:v>1999-二</x:v>
      </x:c>
    </x:row>
    <x:row r="61" ht="22" customHeight="1">
      <x:c r="A61" s="1" t="n">
        <x:v>1999</x:v>
      </x:c>
      <x:c r="B61" s="1" t="str">
        <x:v>S3</x:v>
      </x:c>
      <x:c r="C61" s="1" t="str">
        <x:v>计算</x:v>
      </x:c>
      <x:c r="D61" s="1" t="str">
        <x:v>1999-三</x:v>
      </x:c>
    </x:row>
    <x:row r="62" ht="22" customHeight="1">
      <x:c r="A62" s="1" t="n">
        <x:v>1999</x:v>
      </x:c>
      <x:c r="B62" s="1" t="str">
        <x:v>S4</x:v>
      </x:c>
      <x:c r="C62" s="1" t="str">
        <x:v>计算</x:v>
      </x:c>
      <x:c r="D62" s="1" t="str">
        <x:v>1999-三</x:v>
      </x:c>
    </x:row>
    <x:row r="63" ht="22" customHeight="1">
      <x:c r="A63" s="1" t="n">
        <x:v>1999</x:v>
      </x:c>
      <x:c r="B63" s="1" t="str">
        <x:v>H4</x:v>
      </x:c>
      <x:c r="C63" s="1" t="str">
        <x:v>计算</x:v>
      </x:c>
      <x:c r="D63" s="1" t="str">
        <x:v>1999-四</x:v>
      </x:c>
    </x:row>
    <x:row r="64" ht="22" customHeight="1">
      <x:c r="A64" s="1" t="n">
        <x:v>1999</x:v>
      </x:c>
      <x:c r="B64" s="1" t="str">
        <x:v>H2</x:v>
      </x:c>
      <x:c r="C64" s="1" t="str">
        <x:v>计算</x:v>
      </x:c>
      <x:c r="D64" s="1" t="str">
        <x:v>1999-四</x:v>
      </x:c>
    </x:row>
    <x:row r="65" ht="22" customHeight="1">
      <x:c r="A65" s="1" t="n">
        <x:v>1999</x:v>
      </x:c>
      <x:c r="B65" s="1" t="str">
        <x:v>H3</x:v>
      </x:c>
      <x:c r="C65" s="1" t="str">
        <x:v>计算</x:v>
      </x:c>
      <x:c r="D65" s="1" t="str">
        <x:v>1999-四</x:v>
      </x:c>
    </x:row>
    <x:row r="66" ht="22" customHeight="1">
      <x:c r="A66" s="1" t="n">
        <x:v>1999</x:v>
      </x:c>
      <x:c r="B66" s="1" t="str">
        <x:v>A4</x:v>
      </x:c>
      <x:c r="C66" s="1" t="str">
        <x:v>计算</x:v>
      </x:c>
      <x:c r="D66" s="1" t="str">
        <x:v>1999-五</x:v>
      </x:c>
    </x:row>
    <x:row r="67" ht="22" customHeight="1">
      <x:c r="A67" s="1" t="n">
        <x:v>1999</x:v>
      </x:c>
      <x:c r="B67" s="1" t="str">
        <x:v>A3</x:v>
      </x:c>
      <x:c r="C67" s="1" t="str">
        <x:v>计算</x:v>
      </x:c>
      <x:c r="D67" s="1" t="str">
        <x:v>1999-五</x:v>
      </x:c>
    </x:row>
    <x:row r="68" ht="22" customHeight="1">
      <x:c r="A68" s="1" t="n">
        <x:v>1999</x:v>
      </x:c>
      <x:c r="B68" s="1" t="str">
        <x:v>A5</x:v>
      </x:c>
      <x:c r="C68" s="1" t="str">
        <x:v>计算</x:v>
      </x:c>
      <x:c r="D68" s="1" t="str">
        <x:v>1999-五</x:v>
      </x:c>
    </x:row>
    <x:row r="69" ht="22" customHeight="1">
      <x:c r="A69" s="1" t="n">
        <x:v>1999</x:v>
      </x:c>
      <x:c r="B69" s="1" t="str">
        <x:v>D2</x:v>
      </x:c>
      <x:c r="C69" s="1" t="str">
        <x:v>计算</x:v>
      </x:c>
      <x:c r="D69" s="1" t="str">
        <x:v>1999-六</x:v>
      </x:c>
    </x:row>
    <x:row r="70" ht="22" customHeight="1">
      <x:c r="A70" s="1" t="n">
        <x:v>1999</x:v>
      </x:c>
      <x:c r="B70" s="1" t="str">
        <x:v>D3</x:v>
      </x:c>
      <x:c r="C70" s="1" t="str">
        <x:v>计算</x:v>
      </x:c>
      <x:c r="D70" s="1" t="str">
        <x:v>1999-六</x:v>
      </x:c>
    </x:row>
    <x:row r="71" ht="22" customHeight="1">
      <x:c r="A71" s="1" t="n">
        <x:v>1999</x:v>
      </x:c>
      <x:c r="B71" s="1" t="str">
        <x:v>D1</x:v>
      </x:c>
      <x:c r="C71" s="1" t="str">
        <x:v>计算</x:v>
      </x:c>
      <x:c r="D71" s="1" t="str">
        <x:v>1999-六</x:v>
      </x:c>
    </x:row>
    <x:row r="72" ht="22" customHeight="1">
      <x:c r="A72" s="1" t="n">
        <x:v>2000</x:v>
      </x:c>
      <x:c r="B72" s="1" t="str">
        <x:v>F3</x:v>
      </x:c>
      <x:c r="C72" s="1" t="str">
        <x:v>填空</x:v>
      </x:c>
      <x:c r="D72" s="1" t="str">
        <x:v>2000-一-01</x:v>
      </x:c>
    </x:row>
    <x:row r="73" ht="22" customHeight="1">
      <x:c r="A73" s="1" t="n">
        <x:v>2000</x:v>
      </x:c>
      <x:c r="B73" s="1" t="str">
        <x:v>F1</x:v>
      </x:c>
      <x:c r="C73" s="1" t="str">
        <x:v>填空</x:v>
      </x:c>
      <x:c r="D73" s="1" t="str">
        <x:v>2000-一-02</x:v>
      </x:c>
    </x:row>
    <x:row r="74" ht="22" customHeight="1">
      <x:c r="A74" s="1" t="n">
        <x:v>2000</x:v>
      </x:c>
      <x:c r="B74" s="1" t="str">
        <x:v>F4</x:v>
      </x:c>
      <x:c r="C74" s="1" t="str">
        <x:v>填空</x:v>
      </x:c>
      <x:c r="D74" s="1" t="str">
        <x:v>2000-一-03</x:v>
      </x:c>
    </x:row>
    <x:row r="75" ht="22" customHeight="1">
      <x:c r="A75" s="1" t="n">
        <x:v>2000</x:v>
      </x:c>
      <x:c r="B75" s="1" t="str">
        <x:v>B1</x:v>
      </x:c>
      <x:c r="C75" s="1" t="str">
        <x:v>填空</x:v>
      </x:c>
      <x:c r="D75" s="1" t="str">
        <x:v>2000-一-04</x:v>
      </x:c>
    </x:row>
    <x:row r="76" ht="22" customHeight="1">
      <x:c r="A76" s="1" t="n">
        <x:v>2000</x:v>
      </x:c>
      <x:c r="B76" s="1" t="str">
        <x:v>O1</x:v>
      </x:c>
      <x:c r="C76" s="1" t="str">
        <x:v>填空</x:v>
      </x:c>
      <x:c r="D76" s="1" t="str">
        <x:v>2000-一-05</x:v>
      </x:c>
    </x:row>
    <x:row r="77" ht="22" customHeight="1">
      <x:c r="A77" s="1" t="n">
        <x:v>2000</x:v>
      </x:c>
      <x:c r="B77" s="1" t="str">
        <x:v>S1</x:v>
      </x:c>
      <x:c r="C77" s="1" t="str">
        <x:v>填空</x:v>
      </x:c>
      <x:c r="D77" s="1" t="str">
        <x:v>2000-一-06</x:v>
      </x:c>
    </x:row>
    <x:row r="78" ht="22" customHeight="1">
      <x:c r="A78" s="1" t="n">
        <x:v>2000</x:v>
      </x:c>
      <x:c r="B78" s="1" t="str">
        <x:v>S2</x:v>
      </x:c>
      <x:c r="C78" s="1" t="str">
        <x:v>填空</x:v>
      </x:c>
      <x:c r="D78" s="1" t="str">
        <x:v>2000-一-07</x:v>
      </x:c>
    </x:row>
    <x:row r="79" ht="22" customHeight="1">
      <x:c r="A79" s="1" t="n">
        <x:v>2000</x:v>
      </x:c>
      <x:c r="B79" s="1" t="str">
        <x:v>H1</x:v>
      </x:c>
      <x:c r="C79" s="1" t="str">
        <x:v>填空</x:v>
      </x:c>
      <x:c r="D79" s="1" t="str">
        <x:v>2000-一-08</x:v>
      </x:c>
    </x:row>
    <x:row r="80" ht="22" customHeight="1">
      <x:c r="A80" s="1" t="n">
        <x:v>2000</x:v>
      </x:c>
      <x:c r="B80" s="1" t="str">
        <x:v>M1</x:v>
      </x:c>
      <x:c r="C80" s="1" t="str">
        <x:v>填空</x:v>
      </x:c>
      <x:c r="D80" s="1" t="str">
        <x:v>2000-一-09</x:v>
      </x:c>
    </x:row>
    <x:row r="81" ht="22" customHeight="1">
      <x:c r="A81" s="1" t="n">
        <x:v>2000</x:v>
      </x:c>
      <x:c r="B81" s="1" t="str">
        <x:v>D2</x:v>
      </x:c>
      <x:c r="C81" s="1" t="str">
        <x:v>填空</x:v>
      </x:c>
      <x:c r="D81" s="1" t="str">
        <x:v>2000-一-10</x:v>
      </x:c>
    </x:row>
    <x:row r="82" ht="22" customHeight="1">
      <x:c r="A82" s="1" t="n">
        <x:v>2000</x:v>
      </x:c>
      <x:c r="B82" s="1" t="str">
        <x:v>A3</x:v>
      </x:c>
      <x:c r="C82" s="1" t="str">
        <x:v>填空</x:v>
      </x:c>
      <x:c r="D82" s="1" t="str">
        <x:v>2000-一-10</x:v>
      </x:c>
    </x:row>
    <x:row r="83" ht="22" customHeight="1">
      <x:c r="A83" s="1" t="n">
        <x:v>2000</x:v>
      </x:c>
      <x:c r="B83" s="1" t="str">
        <x:v>D2</x:v>
      </x:c>
      <x:c r="C83" s="1" t="str">
        <x:v>填空</x:v>
      </x:c>
      <x:c r="D83" s="1" t="str">
        <x:v>2000-一-11</x:v>
      </x:c>
    </x:row>
    <x:row r="84" ht="22" customHeight="1">
      <x:c r="A84" s="1" t="n">
        <x:v>2000</x:v>
      </x:c>
      <x:c r="B84" s="1" t="str">
        <x:v>A5</x:v>
      </x:c>
      <x:c r="C84" s="1" t="str">
        <x:v>填空</x:v>
      </x:c>
      <x:c r="D84" s="1" t="str">
        <x:v>2000-一-12</x:v>
      </x:c>
    </x:row>
    <x:row r="85" ht="22" customHeight="1">
      <x:c r="A85" s="1" t="n">
        <x:v>2000</x:v>
      </x:c>
      <x:c r="B85" s="1" t="str">
        <x:v>A4</x:v>
      </x:c>
      <x:c r="C85" s="1" t="str">
        <x:v>填空</x:v>
      </x:c>
      <x:c r="D85" s="1" t="str">
        <x:v>2000-一-12</x:v>
      </x:c>
    </x:row>
    <x:row r="86" ht="22" customHeight="1">
      <x:c r="A86" s="1" t="n">
        <x:v>2000</x:v>
      </x:c>
      <x:c r="B86" s="1" t="str">
        <x:v>X1</x:v>
      </x:c>
      <x:c r="C86" s="1" t="str">
        <x:v>填空</x:v>
      </x:c>
      <x:c r="D86" s="1" t="str">
        <x:v>2000-一-13</x:v>
      </x:c>
    </x:row>
    <x:row r="87" ht="22" customHeight="1">
      <x:c r="A87" s="1" t="n">
        <x:v>2000</x:v>
      </x:c>
      <x:c r="B87" s="1" t="str">
        <x:v>T1</x:v>
      </x:c>
      <x:c r="C87" s="1" t="str">
        <x:v>填空</x:v>
      </x:c>
      <x:c r="D87" s="1" t="str">
        <x:v>2000-一-14</x:v>
      </x:c>
    </x:row>
    <x:row r="88" ht="22" customHeight="1">
      <x:c r="A88" s="1" t="n">
        <x:v>2000</x:v>
      </x:c>
      <x:c r="B88" s="1" t="str">
        <x:v>P1</x:v>
      </x:c>
      <x:c r="C88" s="1" t="str">
        <x:v>计算</x:v>
      </x:c>
      <x:c r="D88" s="1" t="str">
        <x:v>2000-二</x:v>
      </x:c>
    </x:row>
    <x:row r="89" ht="22" customHeight="1">
      <x:c r="A89" s="1" t="n">
        <x:v>2000</x:v>
      </x:c>
      <x:c r="B89" s="1" t="str">
        <x:v>F2</x:v>
      </x:c>
      <x:c r="C89" s="1" t="str">
        <x:v>计算</x:v>
      </x:c>
      <x:c r="D89" s="1" t="str">
        <x:v>2000-二</x:v>
      </x:c>
    </x:row>
    <x:row r="90" ht="22" customHeight="1">
      <x:c r="A90" s="1" t="n">
        <x:v>2000</x:v>
      </x:c>
      <x:c r="B90" s="1" t="str">
        <x:v>F3</x:v>
      </x:c>
      <x:c r="C90" s="1" t="str">
        <x:v>计算</x:v>
      </x:c>
      <x:c r="D90" s="1" t="str">
        <x:v>2000-二</x:v>
      </x:c>
    </x:row>
    <x:row r="91" ht="22" customHeight="1">
      <x:c r="A91" s="1" t="n">
        <x:v>2000</x:v>
      </x:c>
      <x:c r="B91" s="1" t="str">
        <x:v>S3</x:v>
      </x:c>
      <x:c r="C91" s="1" t="str">
        <x:v>计算</x:v>
      </x:c>
      <x:c r="D91" s="1" t="str">
        <x:v>2000-三</x:v>
      </x:c>
    </x:row>
    <x:row r="92" ht="22" customHeight="1">
      <x:c r="A92" s="1" t="n">
        <x:v>2000</x:v>
      </x:c>
      <x:c r="B92" s="1" t="str">
        <x:v>H4</x:v>
      </x:c>
      <x:c r="C92" s="1" t="str">
        <x:v>计算</x:v>
      </x:c>
      <x:c r="D92" s="1" t="str">
        <x:v>2000-四</x:v>
      </x:c>
    </x:row>
    <x:row r="93" ht="22" customHeight="1">
      <x:c r="A93" s="1" t="n">
        <x:v>2000</x:v>
      </x:c>
      <x:c r="B93" s="1" t="str">
        <x:v>H2</x:v>
      </x:c>
      <x:c r="C93" s="1" t="str">
        <x:v>计算</x:v>
      </x:c>
      <x:c r="D93" s="1" t="str">
        <x:v>2000-四</x:v>
      </x:c>
    </x:row>
    <x:row r="94" ht="22" customHeight="1">
      <x:c r="A94" s="1" t="n">
        <x:v>2000</x:v>
      </x:c>
      <x:c r="B94" s="1" t="str">
        <x:v>H3</x:v>
      </x:c>
      <x:c r="C94" s="1" t="str">
        <x:v>计算</x:v>
      </x:c>
      <x:c r="D94" s="1" t="str">
        <x:v>2000-四</x:v>
      </x:c>
    </x:row>
    <x:row r="95" ht="22" customHeight="1">
      <x:c r="A95" s="1" t="n">
        <x:v>2000</x:v>
      </x:c>
      <x:c r="B95" s="1" t="str">
        <x:v>A4</x:v>
      </x:c>
      <x:c r="C95" s="1" t="str">
        <x:v>计算</x:v>
      </x:c>
      <x:c r="D95" s="1" t="str">
        <x:v>2000-五</x:v>
      </x:c>
    </x:row>
    <x:row r="96" ht="22" customHeight="1">
      <x:c r="A96" s="1" t="n">
        <x:v>2000</x:v>
      </x:c>
      <x:c r="B96" s="1" t="str">
        <x:v>A3</x:v>
      </x:c>
      <x:c r="C96" s="1" t="str">
        <x:v>计算</x:v>
      </x:c>
      <x:c r="D96" s="1" t="str">
        <x:v>2000-五</x:v>
      </x:c>
    </x:row>
    <x:row r="97" ht="22" customHeight="1">
      <x:c r="A97" s="1" t="n">
        <x:v>2000</x:v>
      </x:c>
      <x:c r="B97" s="1" t="str">
        <x:v>D2</x:v>
      </x:c>
      <x:c r="C97" s="1" t="str">
        <x:v>计算</x:v>
      </x:c>
      <x:c r="D97" s="1" t="str">
        <x:v>2000-六</x:v>
      </x:c>
    </x:row>
    <x:row r="98" ht="22" customHeight="1">
      <x:c r="A98" s="1" t="n">
        <x:v>2000</x:v>
      </x:c>
      <x:c r="B98" s="1" t="str">
        <x:v>D3</x:v>
      </x:c>
      <x:c r="C98" s="1" t="str">
        <x:v>计算</x:v>
      </x:c>
      <x:c r="D98" s="1" t="str">
        <x:v>2000-六</x:v>
      </x:c>
    </x:row>
    <x:row r="99" ht="22" customHeight="1">
      <x:c r="A99" s="1" t="n">
        <x:v>2000</x:v>
      </x:c>
      <x:c r="B99" s="1" t="str">
        <x:v>D4</x:v>
      </x:c>
      <x:c r="C99" s="1" t="str">
        <x:v>计算</x:v>
      </x:c>
      <x:c r="D99" s="1" t="str">
        <x:v>2000-六</x:v>
      </x:c>
    </x:row>
    <x:row r="100" ht="22" customHeight="1">
      <x:c r="A100" s="1" t="n">
        <x:v>2000</x:v>
      </x:c>
      <x:c r="B100" s="1" t="str">
        <x:v>D1</x:v>
      </x:c>
      <x:c r="C100" s="1" t="str">
        <x:v>计算</x:v>
      </x:c>
      <x:c r="D100" s="1" t="str">
        <x:v>2000-六</x:v>
      </x:c>
    </x:row>
    <x:row r="101" ht="22" customHeight="1">
      <x:c r="A101" s="1" t="n">
        <x:v>2001</x:v>
      </x:c>
      <x:c r="B101" s="1" t="str">
        <x:v>F3</x:v>
      </x:c>
      <x:c r="C101" s="1" t="str">
        <x:v>填空</x:v>
      </x:c>
      <x:c r="D101" s="1" t="str">
        <x:v>2001-一-01</x:v>
      </x:c>
    </x:row>
    <x:row r="102" ht="22" customHeight="1">
      <x:c r="A102" s="1" t="n">
        <x:v>2001</x:v>
      </x:c>
      <x:c r="B102" s="1" t="str">
        <x:v>P1</x:v>
      </x:c>
      <x:c r="C102" s="1" t="str">
        <x:v>填空</x:v>
      </x:c>
      <x:c r="D102" s="1" t="str">
        <x:v>2001-一-02</x:v>
      </x:c>
    </x:row>
    <x:row r="103" ht="22" customHeight="1">
      <x:c r="A103" s="1" t="n">
        <x:v>2001</x:v>
      </x:c>
      <x:c r="B103" s="1" t="str">
        <x:v>S1</x:v>
      </x:c>
      <x:c r="C103" s="1" t="str">
        <x:v>填空</x:v>
      </x:c>
      <x:c r="D103" s="1" t="str">
        <x:v>2001-一-03</x:v>
      </x:c>
    </x:row>
    <x:row r="104" ht="22" customHeight="1">
      <x:c r="A104" s="1" t="n">
        <x:v>2001</x:v>
      </x:c>
      <x:c r="B104" s="1" t="str">
        <x:v>B1</x:v>
      </x:c>
      <x:c r="C104" s="1" t="str">
        <x:v>填空</x:v>
      </x:c>
      <x:c r="D104" s="1" t="str">
        <x:v>2001-一-04</x:v>
      </x:c>
    </x:row>
    <x:row r="105" ht="22" customHeight="1">
      <x:c r="A105" s="1" t="n">
        <x:v>2001</x:v>
      </x:c>
      <x:c r="B105" s="1" t="str">
        <x:v>H1</x:v>
      </x:c>
      <x:c r="C105" s="1" t="str">
        <x:v>填空</x:v>
      </x:c>
      <x:c r="D105" s="1" t="str">
        <x:v>2001-一-05</x:v>
      </x:c>
    </x:row>
    <x:row r="106" ht="22" customHeight="1">
      <x:c r="A106" s="1" t="n">
        <x:v>2001</x:v>
      </x:c>
      <x:c r="B106" s="1" t="str">
        <x:v>H2</x:v>
      </x:c>
      <x:c r="C106" s="1" t="str">
        <x:v>填空</x:v>
      </x:c>
      <x:c r="D106" s="1" t="str">
        <x:v>2001-一-05</x:v>
      </x:c>
    </x:row>
    <x:row r="107" ht="22" customHeight="1">
      <x:c r="A107" s="1" t="n">
        <x:v>2001</x:v>
      </x:c>
      <x:c r="B107" s="1" t="str">
        <x:v>O1</x:v>
      </x:c>
      <x:c r="C107" s="1" t="str">
        <x:v>填空</x:v>
      </x:c>
      <x:c r="D107" s="1" t="str">
        <x:v>2001-一-06</x:v>
      </x:c>
    </x:row>
    <x:row r="108" ht="22" customHeight="1">
      <x:c r="A108" s="1" t="n">
        <x:v>2001</x:v>
      </x:c>
      <x:c r="B108" s="1" t="str">
        <x:v>T1</x:v>
      </x:c>
      <x:c r="C108" s="1" t="str">
        <x:v>填空</x:v>
      </x:c>
      <x:c r="D108" s="1" t="str">
        <x:v>2001-一-07</x:v>
      </x:c>
    </x:row>
    <x:row r="109" ht="22" customHeight="1">
      <x:c r="A109" s="1" t="n">
        <x:v>2001</x:v>
      </x:c>
      <x:c r="B109" s="1" t="str">
        <x:v>D5</x:v>
      </x:c>
      <x:c r="C109" s="1" t="str">
        <x:v>填空</x:v>
      </x:c>
      <x:c r="D109" s="1" t="str">
        <x:v>2001-一-08</x:v>
      </x:c>
    </x:row>
    <x:row r="110" ht="22" customHeight="1">
      <x:c r="A110" s="1" t="n">
        <x:v>2001</x:v>
      </x:c>
      <x:c r="B110" s="1" t="str">
        <x:v>X1</x:v>
      </x:c>
      <x:c r="C110" s="1" t="str">
        <x:v>填空</x:v>
      </x:c>
      <x:c r="D110" s="1" t="str">
        <x:v>2001-一-09</x:v>
      </x:c>
    </x:row>
    <x:row r="111" ht="22" customHeight="1">
      <x:c r="A111" s="1" t="n">
        <x:v>2001</x:v>
      </x:c>
      <x:c r="B111" s="1" t="str">
        <x:v>D5</x:v>
      </x:c>
      <x:c r="C111" s="1" t="str">
        <x:v>填空</x:v>
      </x:c>
      <x:c r="D111" s="1" t="str">
        <x:v>2001-一-09</x:v>
      </x:c>
    </x:row>
    <x:row r="112" ht="22" customHeight="1">
      <x:c r="A112" s="1" t="n">
        <x:v>2001</x:v>
      </x:c>
      <x:c r="B112" s="1" t="str">
        <x:v>M1</x:v>
      </x:c>
      <x:c r="C112" s="1" t="str">
        <x:v>填空</x:v>
      </x:c>
      <x:c r="D112" s="1" t="str">
        <x:v>2001-一-10</x:v>
      </x:c>
    </x:row>
    <x:row r="113" ht="22" customHeight="1">
      <x:c r="A113" s="1" t="n">
        <x:v>2001</x:v>
      </x:c>
      <x:c r="B113" s="1" t="str">
        <x:v>F2</x:v>
      </x:c>
      <x:c r="C113" s="1" t="str">
        <x:v>计算</x:v>
      </x:c>
      <x:c r="D113" s="1" t="str">
        <x:v>2001-二</x:v>
      </x:c>
    </x:row>
    <x:row r="114" ht="22" customHeight="1">
      <x:c r="A114" s="1" t="n">
        <x:v>2001</x:v>
      </x:c>
      <x:c r="B114" s="1" t="str">
        <x:v>F1</x:v>
      </x:c>
      <x:c r="C114" s="1" t="str">
        <x:v>计算</x:v>
      </x:c>
      <x:c r="D114" s="1" t="str">
        <x:v>2001-二</x:v>
      </x:c>
    </x:row>
    <x:row r="115" ht="22" customHeight="1">
      <x:c r="A115" s="1" t="n">
        <x:v>2001</x:v>
      </x:c>
      <x:c r="B115" s="1" t="str">
        <x:v>S4</x:v>
      </x:c>
      <x:c r="C115" s="1" t="str">
        <x:v>计算</x:v>
      </x:c>
      <x:c r="D115" s="1" t="str">
        <x:v>2001-三</x:v>
      </x:c>
    </x:row>
    <x:row r="116" ht="22" customHeight="1">
      <x:c r="A116" s="1" t="n">
        <x:v>2001</x:v>
      </x:c>
      <x:c r="B116" s="1" t="str">
        <x:v>S3</x:v>
      </x:c>
      <x:c r="C116" s="1" t="str">
        <x:v>计算</x:v>
      </x:c>
      <x:c r="D116" s="1" t="str">
        <x:v>2001-三</x:v>
      </x:c>
    </x:row>
    <x:row r="117" ht="22" customHeight="1">
      <x:c r="A117" s="1" t="n">
        <x:v>2001</x:v>
      </x:c>
      <x:c r="B117" s="1" t="str">
        <x:v>H4</x:v>
      </x:c>
      <x:c r="C117" s="1" t="str">
        <x:v>计算</x:v>
      </x:c>
      <x:c r="D117" s="1" t="str">
        <x:v>2001-四</x:v>
      </x:c>
    </x:row>
    <x:row r="118" ht="22" customHeight="1">
      <x:c r="A118" s="1" t="n">
        <x:v>2001</x:v>
      </x:c>
      <x:c r="B118" s="1" t="str">
        <x:v>H2</x:v>
      </x:c>
      <x:c r="C118" s="1" t="str">
        <x:v>计算</x:v>
      </x:c>
      <x:c r="D118" s="1" t="str">
        <x:v>2001-四</x:v>
      </x:c>
    </x:row>
    <x:row r="119" ht="22" customHeight="1">
      <x:c r="A119" s="1" t="n">
        <x:v>2001</x:v>
      </x:c>
      <x:c r="B119" s="1" t="str">
        <x:v>H3</x:v>
      </x:c>
      <x:c r="C119" s="1" t="str">
        <x:v>计算</x:v>
      </x:c>
      <x:c r="D119" s="1" t="str">
        <x:v>2001-四</x:v>
      </x:c>
    </x:row>
    <x:row r="120" ht="22" customHeight="1">
      <x:c r="A120" s="1" t="n">
        <x:v>2001</x:v>
      </x:c>
      <x:c r="B120" s="1" t="str">
        <x:v>H5</x:v>
      </x:c>
      <x:c r="C120" s="1" t="str">
        <x:v>计算</x:v>
      </x:c>
      <x:c r="D120" s="1" t="str">
        <x:v>2001-四</x:v>
      </x:c>
    </x:row>
    <x:row r="121" ht="22" customHeight="1">
      <x:c r="A121" s="1" t="n">
        <x:v>2001</x:v>
      </x:c>
      <x:c r="B121" s="1" t="str">
        <x:v>F3</x:v>
      </x:c>
      <x:c r="C121" s="1" t="str">
        <x:v>计算</x:v>
      </x:c>
      <x:c r="D121" s="1" t="str">
        <x:v>2001-四</x:v>
      </x:c>
    </x:row>
    <x:row r="122" ht="22" customHeight="1">
      <x:c r="A122" s="1" t="n">
        <x:v>2001</x:v>
      </x:c>
      <x:c r="B122" s="1" t="str">
        <x:v>A4</x:v>
      </x:c>
      <x:c r="C122" s="1" t="str">
        <x:v>计算</x:v>
      </x:c>
      <x:c r="D122" s="1" t="str">
        <x:v>2001-五</x:v>
      </x:c>
    </x:row>
    <x:row r="123" ht="22" customHeight="1">
      <x:c r="A123" s="1" t="n">
        <x:v>2001</x:v>
      </x:c>
      <x:c r="B123" s="1" t="str">
        <x:v>A3</x:v>
      </x:c>
      <x:c r="C123" s="1" t="str">
        <x:v>计算</x:v>
      </x:c>
      <x:c r="D123" s="1" t="str">
        <x:v>2001-五</x:v>
      </x:c>
    </x:row>
    <x:row r="124" ht="22" customHeight="1">
      <x:c r="A124" s="1" t="n">
        <x:v>2001</x:v>
      </x:c>
      <x:c r="B124" s="1" t="str">
        <x:v>A5</x:v>
      </x:c>
      <x:c r="C124" s="1" t="str">
        <x:v>计算</x:v>
      </x:c>
      <x:c r="D124" s="1" t="str">
        <x:v>2001-五</x:v>
      </x:c>
    </x:row>
    <x:row r="125" ht="22" customHeight="1">
      <x:c r="A125" s="1" t="n">
        <x:v>2001</x:v>
      </x:c>
      <x:c r="B125" s="1" t="str">
        <x:v>D2</x:v>
      </x:c>
      <x:c r="C125" s="1" t="str">
        <x:v>计算</x:v>
      </x:c>
      <x:c r="D125" s="1" t="str">
        <x:v>2001-六</x:v>
      </x:c>
    </x:row>
    <x:row r="126" ht="22" customHeight="1">
      <x:c r="A126" s="1" t="n">
        <x:v>2001</x:v>
      </x:c>
      <x:c r="B126" s="1" t="str">
        <x:v>D3</x:v>
      </x:c>
      <x:c r="C126" s="1" t="str">
        <x:v>计算</x:v>
      </x:c>
      <x:c r="D126" s="1" t="str">
        <x:v>2001-六</x:v>
      </x:c>
    </x:row>
    <x:row r="127" ht="22" customHeight="1">
      <x:c r="A127" s="1" t="n">
        <x:v>2001</x:v>
      </x:c>
      <x:c r="B127" s="1" t="str">
        <x:v>D4</x:v>
      </x:c>
      <x:c r="C127" s="1" t="str">
        <x:v>计算</x:v>
      </x:c>
      <x:c r="D127" s="1" t="str">
        <x:v>2001-六</x:v>
      </x:c>
    </x:row>
    <x:row r="128" ht="22" customHeight="1">
      <x:c r="A128" s="1" t="n">
        <x:v>2001</x:v>
      </x:c>
      <x:c r="B128" s="1" t="str">
        <x:v>T1</x:v>
      </x:c>
      <x:c r="C128" s="1" t="str">
        <x:v>计算</x:v>
      </x:c>
      <x:c r="D128" s="1" t="str">
        <x:v>2001-六</x:v>
      </x:c>
    </x:row>
    <x:row r="129" ht="22" customHeight="1">
      <x:c r="A129" s="1" t="n">
        <x:v>2002</x:v>
      </x:c>
      <x:c r="B129" s="1" t="str">
        <x:v>F1</x:v>
      </x:c>
      <x:c r="C129" s="1" t="str">
        <x:v>填空</x:v>
      </x:c>
      <x:c r="D129" s="1" t="str">
        <x:v>2002-一-01</x:v>
      </x:c>
    </x:row>
    <x:row r="130" ht="22" customHeight="1">
      <x:c r="A130" s="1" t="n">
        <x:v>2002</x:v>
      </x:c>
      <x:c r="B130" s="1" t="str">
        <x:v>F3</x:v>
      </x:c>
      <x:c r="C130" s="1" t="str">
        <x:v>填空</x:v>
      </x:c>
      <x:c r="D130" s="1" t="str">
        <x:v>2002-一-02</x:v>
      </x:c>
    </x:row>
    <x:row r="131" ht="22" customHeight="1">
      <x:c r="A131" s="1" t="n">
        <x:v>2002</x:v>
      </x:c>
      <x:c r="B131" s="1" t="str">
        <x:v>P2</x:v>
      </x:c>
      <x:c r="C131" s="1" t="str">
        <x:v>填空</x:v>
      </x:c>
      <x:c r="D131" s="1" t="str">
        <x:v>2002-一-03</x:v>
      </x:c>
    </x:row>
    <x:row r="132" ht="22" customHeight="1">
      <x:c r="A132" s="1" t="n">
        <x:v>2002</x:v>
      </x:c>
      <x:c r="B132" s="1" t="str">
        <x:v>P1</x:v>
      </x:c>
      <x:c r="C132" s="1" t="str">
        <x:v>填空</x:v>
      </x:c>
      <x:c r="D132" s="1" t="str">
        <x:v>2002-一-04</x:v>
      </x:c>
    </x:row>
    <x:row r="133" ht="22" customHeight="1">
      <x:c r="A133" s="1" t="n">
        <x:v>2002</x:v>
      </x:c>
      <x:c r="B133" s="1" t="str">
        <x:v>B1</x:v>
      </x:c>
      <x:c r="C133" s="1" t="str">
        <x:v>填空</x:v>
      </x:c>
      <x:c r="D133" s="1" t="str">
        <x:v>2002-一-05</x:v>
      </x:c>
    </x:row>
    <x:row r="134" ht="22" customHeight="1">
      <x:c r="A134" s="1" t="n">
        <x:v>2002</x:v>
      </x:c>
      <x:c r="B134" s="1" t="str">
        <x:v>S1</x:v>
      </x:c>
      <x:c r="C134" s="1" t="str">
        <x:v>填空</x:v>
      </x:c>
      <x:c r="D134" s="1" t="str">
        <x:v>2002-一-06</x:v>
      </x:c>
    </x:row>
    <x:row r="135" ht="22" customHeight="1">
      <x:c r="A135" s="1" t="n">
        <x:v>2002</x:v>
      </x:c>
      <x:c r="B135" s="1" t="str">
        <x:v>H5</x:v>
      </x:c>
      <x:c r="C135" s="1" t="str">
        <x:v>填空</x:v>
      </x:c>
      <x:c r="D135" s="1" t="str">
        <x:v>2002-一-07</x:v>
      </x:c>
    </x:row>
    <x:row r="136" ht="22" customHeight="1">
      <x:c r="A136" s="1" t="n">
        <x:v>2002</x:v>
      </x:c>
      <x:c r="B136" s="1" t="str">
        <x:v>H2</x:v>
      </x:c>
      <x:c r="C136" s="1" t="str">
        <x:v>填空</x:v>
      </x:c>
      <x:c r="D136" s="1" t="str">
        <x:v>2002-一-07</x:v>
      </x:c>
    </x:row>
    <x:row r="137" ht="22" customHeight="1">
      <x:c r="A137" s="1" t="n">
        <x:v>2002</x:v>
      </x:c>
      <x:c r="B137" s="1" t="str">
        <x:v>H3</x:v>
      </x:c>
      <x:c r="C137" s="1" t="str">
        <x:v>填空</x:v>
      </x:c>
      <x:c r="D137" s="1" t="str">
        <x:v>2002-一-08</x:v>
      </x:c>
    </x:row>
    <x:row r="138" ht="22" customHeight="1">
      <x:c r="A138" s="1" t="n">
        <x:v>2002</x:v>
      </x:c>
      <x:c r="B138" s="1" t="str">
        <x:v>A2</x:v>
      </x:c>
      <x:c r="C138" s="1" t="str">
        <x:v>填空</x:v>
      </x:c>
      <x:c r="D138" s="1" t="str">
        <x:v>2002-一-09</x:v>
      </x:c>
    </x:row>
    <x:row r="139" ht="22" customHeight="1">
      <x:c r="A139" s="1" t="n">
        <x:v>2002</x:v>
      </x:c>
      <x:c r="B139" s="1" t="str">
        <x:v>A1</x:v>
      </x:c>
      <x:c r="C139" s="1" t="str">
        <x:v>填空</x:v>
      </x:c>
      <x:c r="D139" s="1" t="str">
        <x:v>2002-一-09</x:v>
      </x:c>
    </x:row>
    <x:row r="140" ht="22" customHeight="1">
      <x:c r="A140" s="1" t="n">
        <x:v>2002</x:v>
      </x:c>
      <x:c r="B140" s="1" t="str">
        <x:v>A5</x:v>
      </x:c>
      <x:c r="C140" s="1" t="str">
        <x:v>填空</x:v>
      </x:c>
      <x:c r="D140" s="1" t="str">
        <x:v>2002-一-09</x:v>
      </x:c>
    </x:row>
    <x:row r="141" ht="22" customHeight="1">
      <x:c r="A141" s="1" t="n">
        <x:v>2002</x:v>
      </x:c>
      <x:c r="B141" s="1" t="str">
        <x:v>D1</x:v>
      </x:c>
      <x:c r="C141" s="1" t="str">
        <x:v>填空</x:v>
      </x:c>
      <x:c r="D141" s="1" t="str">
        <x:v>2002-一-10</x:v>
      </x:c>
    </x:row>
    <x:row r="142" ht="22" customHeight="1">
      <x:c r="A142" s="1" t="n">
        <x:v>2002</x:v>
      </x:c>
      <x:c r="B142" s="1" t="str">
        <x:v>D4</x:v>
      </x:c>
      <x:c r="C142" s="1" t="str">
        <x:v>填空</x:v>
      </x:c>
      <x:c r="D142" s="1" t="str">
        <x:v>2002-一-11</x:v>
      </x:c>
    </x:row>
    <x:row r="143" ht="22" customHeight="1">
      <x:c r="A143" s="1" t="n">
        <x:v>2002</x:v>
      </x:c>
      <x:c r="B143" s="1" t="str">
        <x:v>M1</x:v>
      </x:c>
      <x:c r="C143" s="1" t="str">
        <x:v>填空</x:v>
      </x:c>
      <x:c r="D143" s="1" t="str">
        <x:v>2002-一-12</x:v>
      </x:c>
    </x:row>
    <x:row r="144" ht="22" customHeight="1">
      <x:c r="A144" s="1" t="n">
        <x:v>2002</x:v>
      </x:c>
      <x:c r="B144" s="1" t="str">
        <x:v>X1</x:v>
      </x:c>
      <x:c r="C144" s="1" t="str">
        <x:v>填空</x:v>
      </x:c>
      <x:c r="D144" s="1" t="str">
        <x:v>2002-一-13</x:v>
      </x:c>
    </x:row>
    <x:row r="145" ht="22" customHeight="1">
      <x:c r="A145" s="1" t="n">
        <x:v>2002</x:v>
      </x:c>
      <x:c r="B145" s="1" t="str">
        <x:v>T1</x:v>
      </x:c>
      <x:c r="C145" s="1" t="str">
        <x:v>填空</x:v>
      </x:c>
      <x:c r="D145" s="1" t="str">
        <x:v>2002-一-14</x:v>
      </x:c>
    </x:row>
    <x:row r="146" ht="22" customHeight="1">
      <x:c r="A146" s="1" t="n">
        <x:v>2002</x:v>
      </x:c>
      <x:c r="B146" s="1" t="str">
        <x:v>F2</x:v>
      </x:c>
      <x:c r="C146" s="1" t="str">
        <x:v>计算</x:v>
      </x:c>
      <x:c r="D146" s="1" t="str">
        <x:v>2002-二</x:v>
      </x:c>
    </x:row>
    <x:row r="147" ht="22" customHeight="1">
      <x:c r="A147" s="1" t="n">
        <x:v>2002</x:v>
      </x:c>
      <x:c r="B147" s="1" t="str">
        <x:v>F3</x:v>
      </x:c>
      <x:c r="C147" s="1" t="str">
        <x:v>计算</x:v>
      </x:c>
      <x:c r="D147" s="1" t="str">
        <x:v>2002-二</x:v>
      </x:c>
    </x:row>
    <x:row r="148" ht="22" customHeight="1">
      <x:c r="A148" s="1" t="n">
        <x:v>2002</x:v>
      </x:c>
      <x:c r="B148" s="1" t="str">
        <x:v>S4</x:v>
      </x:c>
      <x:c r="C148" s="1" t="str">
        <x:v>计算</x:v>
      </x:c>
      <x:c r="D148" s="1" t="str">
        <x:v>2002-三</x:v>
      </x:c>
    </x:row>
    <x:row r="149" ht="22" customHeight="1">
      <x:c r="A149" s="1" t="n">
        <x:v>2002</x:v>
      </x:c>
      <x:c r="B149" s="1" t="str">
        <x:v>S3</x:v>
      </x:c>
      <x:c r="C149" s="1" t="str">
        <x:v>计算</x:v>
      </x:c>
      <x:c r="D149" s="1" t="str">
        <x:v>2002-三</x:v>
      </x:c>
    </x:row>
    <x:row r="150" ht="22" customHeight="1">
      <x:c r="A150" s="1" t="n">
        <x:v>2002</x:v>
      </x:c>
      <x:c r="B150" s="1" t="str">
        <x:v>H4</x:v>
      </x:c>
      <x:c r="C150" s="1" t="str">
        <x:v>计算</x:v>
      </x:c>
      <x:c r="D150" s="1" t="str">
        <x:v>2002-四</x:v>
      </x:c>
    </x:row>
    <x:row r="151" ht="22" customHeight="1">
      <x:c r="A151" s="1" t="n">
        <x:v>2002</x:v>
      </x:c>
      <x:c r="B151" s="1" t="str">
        <x:v>H2</x:v>
      </x:c>
      <x:c r="C151" s="1" t="str">
        <x:v>计算</x:v>
      </x:c>
      <x:c r="D151" s="1" t="str">
        <x:v>2002-四</x:v>
      </x:c>
    </x:row>
    <x:row r="152" ht="22" customHeight="1">
      <x:c r="A152" s="1" t="n">
        <x:v>2002</x:v>
      </x:c>
      <x:c r="B152" s="1" t="str">
        <x:v>H3</x:v>
      </x:c>
      <x:c r="C152" s="1" t="str">
        <x:v>计算</x:v>
      </x:c>
      <x:c r="D152" s="1" t="str">
        <x:v>2002-四</x:v>
      </x:c>
    </x:row>
    <x:row r="153" ht="22" customHeight="1">
      <x:c r="A153" s="1" t="n">
        <x:v>2002</x:v>
      </x:c>
      <x:c r="B153" s="1" t="str">
        <x:v>A4</x:v>
      </x:c>
      <x:c r="C153" s="1" t="str">
        <x:v>计算</x:v>
      </x:c>
      <x:c r="D153" s="1" t="str">
        <x:v>2002-五</x:v>
      </x:c>
    </x:row>
    <x:row r="154" ht="22" customHeight="1">
      <x:c r="A154" s="1" t="n">
        <x:v>2002</x:v>
      </x:c>
      <x:c r="B154" s="1" t="str">
        <x:v>A3</x:v>
      </x:c>
      <x:c r="C154" s="1" t="str">
        <x:v>计算</x:v>
      </x:c>
      <x:c r="D154" s="1" t="str">
        <x:v>2002-五</x:v>
      </x:c>
    </x:row>
    <x:row r="155" ht="22" customHeight="1">
      <x:c r="A155" s="1" t="n">
        <x:v>2002</x:v>
      </x:c>
      <x:c r="B155" s="1" t="str">
        <x:v>A5</x:v>
      </x:c>
      <x:c r="C155" s="1" t="str">
        <x:v>计算</x:v>
      </x:c>
      <x:c r="D155" s="1" t="str">
        <x:v>2002-五</x:v>
      </x:c>
    </x:row>
    <x:row r="156" ht="22" customHeight="1">
      <x:c r="A156" s="1" t="n">
        <x:v>2002</x:v>
      </x:c>
      <x:c r="B156" s="1" t="str">
        <x:v>D3</x:v>
      </x:c>
      <x:c r="C156" s="1" t="str">
        <x:v>计算</x:v>
      </x:c>
      <x:c r="D156" s="1" t="str">
        <x:v>2002-六</x:v>
      </x:c>
    </x:row>
    <x:row r="157" ht="22" customHeight="1">
      <x:c r="A157" s="1" t="n">
        <x:v>2002</x:v>
      </x:c>
      <x:c r="B157" s="1" t="str">
        <x:v>D2</x:v>
      </x:c>
      <x:c r="C157" s="1" t="str">
        <x:v>计算</x:v>
      </x:c>
      <x:c r="D157" s="1" t="str">
        <x:v>2002-六</x:v>
      </x:c>
    </x:row>
    <x:row r="158" ht="22" customHeight="1">
      <x:c r="A158" s="1" t="n">
        <x:v>2002</x:v>
      </x:c>
      <x:c r="B158" s="1" t="str">
        <x:v>D4</x:v>
      </x:c>
      <x:c r="C158" s="1" t="str">
        <x:v>计算</x:v>
      </x:c>
      <x:c r="D158" s="1" t="str">
        <x:v>2002-六</x:v>
      </x:c>
    </x:row>
    <x:row r="159" ht="22" customHeight="1">
      <x:c r="A159" s="1" t="n">
        <x:v>2002</x:v>
      </x:c>
      <x:c r="B159" s="1" t="str">
        <x:v>D1</x:v>
      </x:c>
      <x:c r="C159" s="1" t="str">
        <x:v>计算</x:v>
      </x:c>
      <x:c r="D159" s="1" t="str">
        <x:v>2002-六</x:v>
      </x:c>
    </x:row>
    <x:row r="160" ht="22" customHeight="1">
      <x:c r="A160" s="1" t="n">
        <x:v>2003</x:v>
      </x:c>
      <x:c r="B160" s="1" t="str">
        <x:v>F3</x:v>
      </x:c>
      <x:c r="C160" s="1" t="str">
        <x:v>填空</x:v>
      </x:c>
      <x:c r="D160" s="1" t="str">
        <x:v>2003-一-01</x:v>
      </x:c>
    </x:row>
    <x:row r="161" ht="22" customHeight="1">
      <x:c r="A161" s="1" t="n">
        <x:v>2003</x:v>
      </x:c>
      <x:c r="B161" s="1" t="str">
        <x:v>F2</x:v>
      </x:c>
      <x:c r="C161" s="1" t="str">
        <x:v>填空</x:v>
      </x:c>
      <x:c r="D161" s="1" t="str">
        <x:v>2003-一-02</x:v>
      </x:c>
    </x:row>
    <x:row r="162" ht="22" customHeight="1">
      <x:c r="A162" s="1" t="n">
        <x:v>2003</x:v>
      </x:c>
      <x:c r="B162" s="1" t="str">
        <x:v>F5</x:v>
      </x:c>
      <x:c r="C162" s="1" t="str">
        <x:v>填空</x:v>
      </x:c>
      <x:c r="D162" s="1" t="str">
        <x:v>2003-一-03</x:v>
      </x:c>
    </x:row>
    <x:row r="163" ht="22" customHeight="1">
      <x:c r="A163" s="1" t="n">
        <x:v>2003</x:v>
      </x:c>
      <x:c r="B163" s="1" t="str">
        <x:v>P1</x:v>
      </x:c>
      <x:c r="C163" s="1" t="str">
        <x:v>填空</x:v>
      </x:c>
      <x:c r="D163" s="1" t="str">
        <x:v>2003-一-04</x:v>
      </x:c>
    </x:row>
    <x:row r="164" ht="22" customHeight="1">
      <x:c r="A164" s="1" t="n">
        <x:v>2003</x:v>
      </x:c>
      <x:c r="B164" s="1" t="str">
        <x:v>P2</x:v>
      </x:c>
      <x:c r="C164" s="1" t="str">
        <x:v>填空</x:v>
      </x:c>
      <x:c r="D164" s="1" t="str">
        <x:v>2003-一-05</x:v>
      </x:c>
    </x:row>
    <x:row r="165" ht="22" customHeight="1">
      <x:c r="A165" s="1" t="n">
        <x:v>2003</x:v>
      </x:c>
      <x:c r="B165" s="1" t="str">
        <x:v>S1</x:v>
      </x:c>
      <x:c r="C165" s="1" t="str">
        <x:v>填空</x:v>
      </x:c>
      <x:c r="D165" s="1" t="str">
        <x:v>2003-一-06</x:v>
      </x:c>
    </x:row>
    <x:row r="166" ht="22" customHeight="1">
      <x:c r="A166" s="1" t="n">
        <x:v>2003</x:v>
      </x:c>
      <x:c r="B166" s="1" t="str">
        <x:v>B1</x:v>
      </x:c>
      <x:c r="C166" s="1" t="str">
        <x:v>填空</x:v>
      </x:c>
      <x:c r="D166" s="1" t="str">
        <x:v>2003-一-07</x:v>
      </x:c>
    </x:row>
    <x:row r="167" ht="22" customHeight="1">
      <x:c r="A167" s="1" t="n">
        <x:v>2003</x:v>
      </x:c>
      <x:c r="B167" s="1" t="str">
        <x:v>H1</x:v>
      </x:c>
      <x:c r="C167" s="1" t="str">
        <x:v>填空</x:v>
      </x:c>
      <x:c r="D167" s="1" t="str">
        <x:v>2003-一-08</x:v>
      </x:c>
    </x:row>
    <x:row r="168" ht="22" customHeight="1">
      <x:c r="A168" s="1" t="n">
        <x:v>2003</x:v>
      </x:c>
      <x:c r="B168" s="1" t="str">
        <x:v>A1</x:v>
      </x:c>
      <x:c r="C168" s="1" t="str">
        <x:v>填空</x:v>
      </x:c>
      <x:c r="D168" s="1" t="str">
        <x:v>2003-一-09</x:v>
      </x:c>
    </x:row>
    <x:row r="169" ht="22" customHeight="1">
      <x:c r="A169" s="1" t="n">
        <x:v>2003</x:v>
      </x:c>
      <x:c r="B169" s="1" t="str">
        <x:v>A5</x:v>
      </x:c>
      <x:c r="C169" s="1" t="str">
        <x:v>填空</x:v>
      </x:c>
      <x:c r="D169" s="1" t="str">
        <x:v>2003-一-09</x:v>
      </x:c>
    </x:row>
    <x:row r="170" ht="22" customHeight="1">
      <x:c r="A170" s="1" t="n">
        <x:v>2003</x:v>
      </x:c>
      <x:c r="B170" s="1" t="str">
        <x:v>A5</x:v>
      </x:c>
      <x:c r="C170" s="1" t="str">
        <x:v>填空</x:v>
      </x:c>
      <x:c r="D170" s="1" t="str">
        <x:v>2003-一-10</x:v>
      </x:c>
    </x:row>
    <x:row r="171" ht="22" customHeight="1">
      <x:c r="A171" s="1" t="n">
        <x:v>2003</x:v>
      </x:c>
      <x:c r="B171" s="1" t="str">
        <x:v>A4</x:v>
      </x:c>
      <x:c r="C171" s="1" t="str">
        <x:v>填空</x:v>
      </x:c>
      <x:c r="D171" s="1" t="str">
        <x:v>2003-一-10</x:v>
      </x:c>
    </x:row>
    <x:row r="172" ht="22" customHeight="1">
      <x:c r="A172" s="1" t="n">
        <x:v>2003</x:v>
      </x:c>
      <x:c r="B172" s="1" t="str">
        <x:v>D4</x:v>
      </x:c>
      <x:c r="C172" s="1" t="str">
        <x:v>填空</x:v>
      </x:c>
      <x:c r="D172" s="1" t="str">
        <x:v>2003-一-11</x:v>
      </x:c>
    </x:row>
    <x:row r="173" ht="22" customHeight="1">
      <x:c r="A173" s="1" t="n">
        <x:v>2003</x:v>
      </x:c>
      <x:c r="B173" s="1" t="str">
        <x:v>D3</x:v>
      </x:c>
      <x:c r="C173" s="1" t="str">
        <x:v>填空</x:v>
      </x:c>
      <x:c r="D173" s="1" t="str">
        <x:v>2003-一-11</x:v>
      </x:c>
    </x:row>
    <x:row r="174" ht="22" customHeight="1">
      <x:c r="A174" s="1" t="n">
        <x:v>2003</x:v>
      </x:c>
      <x:c r="B174" s="1" t="str">
        <x:v>D1</x:v>
      </x:c>
      <x:c r="C174" s="1" t="str">
        <x:v>填空</x:v>
      </x:c>
      <x:c r="D174" s="1" t="str">
        <x:v>2003-一-12</x:v>
      </x:c>
    </x:row>
    <x:row r="175" ht="22" customHeight="1">
      <x:c r="A175" s="1" t="n">
        <x:v>2003</x:v>
      </x:c>
      <x:c r="B175" s="1" t="str">
        <x:v>D2</x:v>
      </x:c>
      <x:c r="C175" s="1" t="str">
        <x:v>填空</x:v>
      </x:c>
      <x:c r="D175" s="1" t="str">
        <x:v>2003-一-13</x:v>
      </x:c>
    </x:row>
    <x:row r="176" ht="22" customHeight="1">
      <x:c r="A176" s="1" t="n">
        <x:v>2003</x:v>
      </x:c>
      <x:c r="B176" s="1" t="str">
        <x:v>X1</x:v>
      </x:c>
      <x:c r="C176" s="1" t="str">
        <x:v>填空</x:v>
      </x:c>
      <x:c r="D176" s="1" t="str">
        <x:v>2003-一-14</x:v>
      </x:c>
    </x:row>
    <x:row r="177" ht="22" customHeight="1">
      <x:c r="A177" s="1" t="n">
        <x:v>2003</x:v>
      </x:c>
      <x:c r="B177" s="1" t="str">
        <x:v>T1</x:v>
      </x:c>
      <x:c r="C177" s="1" t="str">
        <x:v>填空</x:v>
      </x:c>
      <x:c r="D177" s="1" t="str">
        <x:v>2003-一-15</x:v>
      </x:c>
    </x:row>
    <x:row r="178" ht="22" customHeight="1">
      <x:c r="A178" s="1" t="n">
        <x:v>2003</x:v>
      </x:c>
      <x:c r="B178" s="1" t="str">
        <x:v>F2</x:v>
      </x:c>
      <x:c r="C178" s="1" t="str">
        <x:v>计算</x:v>
      </x:c>
      <x:c r="D178" s="1" t="str">
        <x:v>2003-二</x:v>
      </x:c>
    </x:row>
    <x:row r="179" ht="22" customHeight="1">
      <x:c r="A179" s="1" t="n">
        <x:v>2003</x:v>
      </x:c>
      <x:c r="B179" s="1" t="str">
        <x:v>P1</x:v>
      </x:c>
      <x:c r="C179" s="1" t="str">
        <x:v>计算</x:v>
      </x:c>
      <x:c r="D179" s="1" t="str">
        <x:v>2003-二</x:v>
      </x:c>
    </x:row>
    <x:row r="180" ht="22" customHeight="1">
      <x:c r="A180" s="1" t="n">
        <x:v>2003</x:v>
      </x:c>
      <x:c r="B180" s="1" t="str">
        <x:v>F3</x:v>
      </x:c>
      <x:c r="C180" s="1" t="str">
        <x:v>计算</x:v>
      </x:c>
      <x:c r="D180" s="1" t="str">
        <x:v>2003-二</x:v>
      </x:c>
    </x:row>
    <x:row r="181" ht="22" customHeight="1">
      <x:c r="A181" s="1" t="n">
        <x:v>2003</x:v>
      </x:c>
      <x:c r="B181" s="1" t="str">
        <x:v>F1</x:v>
      </x:c>
      <x:c r="C181" s="1" t="str">
        <x:v>计算</x:v>
      </x:c>
      <x:c r="D181" s="1" t="str">
        <x:v>2003-二</x:v>
      </x:c>
    </x:row>
    <x:row r="182" ht="22" customHeight="1">
      <x:c r="A182" s="1" t="n">
        <x:v>2003</x:v>
      </x:c>
      <x:c r="B182" s="1" t="str">
        <x:v>S4</x:v>
      </x:c>
      <x:c r="C182" s="1" t="str">
        <x:v>计算</x:v>
      </x:c>
      <x:c r="D182" s="1" t="str">
        <x:v>2003-三</x:v>
      </x:c>
    </x:row>
    <x:row r="183" ht="22" customHeight="1">
      <x:c r="A183" s="1" t="n">
        <x:v>2003</x:v>
      </x:c>
      <x:c r="B183" s="1" t="str">
        <x:v>S3</x:v>
      </x:c>
      <x:c r="C183" s="1" t="str">
        <x:v>计算</x:v>
      </x:c>
      <x:c r="D183" s="1" t="str">
        <x:v>2003-三</x:v>
      </x:c>
    </x:row>
    <x:row r="184" ht="22" customHeight="1">
      <x:c r="A184" s="1" t="n">
        <x:v>2003</x:v>
      </x:c>
      <x:c r="B184" s="1" t="str">
        <x:v>H4</x:v>
      </x:c>
      <x:c r="C184" s="1" t="str">
        <x:v>计算</x:v>
      </x:c>
      <x:c r="D184" s="1" t="str">
        <x:v>2003-四</x:v>
      </x:c>
    </x:row>
    <x:row r="185" ht="22" customHeight="1">
      <x:c r="A185" s="1" t="n">
        <x:v>2003</x:v>
      </x:c>
      <x:c r="B185" s="1" t="str">
        <x:v>H5</x:v>
      </x:c>
      <x:c r="C185" s="1" t="str">
        <x:v>计算</x:v>
      </x:c>
      <x:c r="D185" s="1" t="str">
        <x:v>2003-四</x:v>
      </x:c>
    </x:row>
    <x:row r="186" ht="22" customHeight="1">
      <x:c r="A186" s="1" t="n">
        <x:v>2003</x:v>
      </x:c>
      <x:c r="B186" s="1" t="str">
        <x:v>A4</x:v>
      </x:c>
      <x:c r="C186" s="1" t="str">
        <x:v>计算</x:v>
      </x:c>
      <x:c r="D186" s="1" t="str">
        <x:v>2003-五</x:v>
      </x:c>
    </x:row>
    <x:row r="187" ht="22" customHeight="1">
      <x:c r="A187" s="1" t="n">
        <x:v>2003</x:v>
      </x:c>
      <x:c r="B187" s="1" t="str">
        <x:v>A3</x:v>
      </x:c>
      <x:c r="C187" s="1" t="str">
        <x:v>计算</x:v>
      </x:c>
      <x:c r="D187" s="1" t="str">
        <x:v>2003-五</x:v>
      </x:c>
    </x:row>
    <x:row r="188" ht="22" customHeight="1">
      <x:c r="A188" s="1" t="n">
        <x:v>2003</x:v>
      </x:c>
      <x:c r="B188" s="1" t="str">
        <x:v>A5</x:v>
      </x:c>
      <x:c r="C188" s="1" t="str">
        <x:v>计算</x:v>
      </x:c>
      <x:c r="D188" s="1" t="str">
        <x:v>2003-五</x:v>
      </x:c>
    </x:row>
    <x:row r="189" ht="22" customHeight="1">
      <x:c r="A189" s="1" t="n">
        <x:v>2003</x:v>
      </x:c>
      <x:c r="B189" s="1" t="str">
        <x:v>D2</x:v>
      </x:c>
      <x:c r="C189" s="1" t="str">
        <x:v>计算</x:v>
      </x:c>
      <x:c r="D189" s="1" t="str">
        <x:v>2003-六</x:v>
      </x:c>
    </x:row>
    <x:row r="190" ht="22" customHeight="1">
      <x:c r="A190" s="1" t="n">
        <x:v>2003</x:v>
      </x:c>
      <x:c r="B190" s="1" t="str">
        <x:v>D3</x:v>
      </x:c>
      <x:c r="C190" s="1" t="str">
        <x:v>计算</x:v>
      </x:c>
      <x:c r="D190" s="1" t="str">
        <x:v>2003-六</x:v>
      </x:c>
    </x:row>
    <x:row r="191" ht="22" customHeight="1">
      <x:c r="A191" s="1" t="n">
        <x:v>2003</x:v>
      </x:c>
      <x:c r="B191" s="1" t="str">
        <x:v>D1</x:v>
      </x:c>
      <x:c r="C191" s="1" t="str">
        <x:v>计算</x:v>
      </x:c>
      <x:c r="D191" s="1" t="str">
        <x:v>2003-六</x:v>
      </x:c>
    </x:row>
    <x:row r="192" ht="22" customHeight="1">
      <x:c r="A192" s="1" t="n">
        <x:v>2003</x:v>
      </x:c>
      <x:c r="B192" s="1" t="str">
        <x:v>D4</x:v>
      </x:c>
      <x:c r="C192" s="1" t="str">
        <x:v>计算</x:v>
      </x:c>
      <x:c r="D192" s="1" t="str">
        <x:v>2003-六</x:v>
      </x:c>
    </x:row>
    <x:row r="193" ht="22" customHeight="1">
      <x:c r="A193" s="1" t="n">
        <x:v>2004</x:v>
      </x:c>
      <x:c r="B193" s="1" t="str">
        <x:v>F2</x:v>
      </x:c>
      <x:c r="C193" s="1" t="str">
        <x:v>填空</x:v>
      </x:c>
      <x:c r="D193" s="1" t="str">
        <x:v>2004-一-01</x:v>
      </x:c>
    </x:row>
    <x:row r="194" ht="22" customHeight="1">
      <x:c r="A194" s="1" t="n">
        <x:v>2004</x:v>
      </x:c>
      <x:c r="B194" s="1" t="str">
        <x:v>F3</x:v>
      </x:c>
      <x:c r="C194" s="1" t="str">
        <x:v>填空</x:v>
      </x:c>
      <x:c r="D194" s="1" t="str">
        <x:v>2004-一-01</x:v>
      </x:c>
    </x:row>
    <x:row r="195" ht="22" customHeight="1">
      <x:c r="A195" s="1" t="n">
        <x:v>2004</x:v>
      </x:c>
      <x:c r="B195" s="1" t="str">
        <x:v>F1</x:v>
      </x:c>
      <x:c r="C195" s="1" t="str">
        <x:v>填空</x:v>
      </x:c>
      <x:c r="D195" s="1" t="str">
        <x:v>2004-一-02</x:v>
      </x:c>
    </x:row>
    <x:row r="196" ht="22" customHeight="1">
      <x:c r="A196" s="1" t="n">
        <x:v>2004</x:v>
      </x:c>
      <x:c r="B196" s="1" t="str">
        <x:v>P2</x:v>
      </x:c>
      <x:c r="C196" s="1" t="str">
        <x:v>填空</x:v>
      </x:c>
      <x:c r="D196" s="1" t="str">
        <x:v>2004-一-03</x:v>
      </x:c>
    </x:row>
    <x:row r="197" ht="22" customHeight="1">
      <x:c r="A197" s="1" t="n">
        <x:v>2004</x:v>
      </x:c>
      <x:c r="B197" s="1" t="str">
        <x:v>P1</x:v>
      </x:c>
      <x:c r="C197" s="1" t="str">
        <x:v>填空</x:v>
      </x:c>
      <x:c r="D197" s="1" t="str">
        <x:v>2004-一-04</x:v>
      </x:c>
    </x:row>
    <x:row r="198" ht="22" customHeight="1">
      <x:c r="A198" s="1" t="n">
        <x:v>2004</x:v>
      </x:c>
      <x:c r="B198" s="1" t="str">
        <x:v>S1</x:v>
      </x:c>
      <x:c r="C198" s="1" t="str">
        <x:v>填空</x:v>
      </x:c>
      <x:c r="D198" s="1" t="str">
        <x:v>2004-一-05</x:v>
      </x:c>
    </x:row>
    <x:row r="199" ht="22" customHeight="1">
      <x:c r="A199" s="1" t="n">
        <x:v>2004</x:v>
      </x:c>
      <x:c r="B199" s="1" t="str">
        <x:v>B1</x:v>
      </x:c>
      <x:c r="C199" s="1" t="str">
        <x:v>填空</x:v>
      </x:c>
      <x:c r="D199" s="1" t="str">
        <x:v>2004-一-06</x:v>
      </x:c>
    </x:row>
    <x:row r="200" ht="22" customHeight="1">
      <x:c r="A200" s="1" t="n">
        <x:v>2004</x:v>
      </x:c>
      <x:c r="B200" s="1" t="str">
        <x:v>H6</x:v>
      </x:c>
      <x:c r="C200" s="1" t="str">
        <x:v>填空</x:v>
      </x:c>
      <x:c r="D200" s="1" t="str">
        <x:v>2004-一-07</x:v>
      </x:c>
    </x:row>
    <x:row r="201" ht="22" customHeight="1">
      <x:c r="A201" s="1" t="n">
        <x:v>2004</x:v>
      </x:c>
      <x:c r="B201" s="1" t="str">
        <x:v>H5</x:v>
      </x:c>
      <x:c r="C201" s="1" t="str">
        <x:v>填空</x:v>
      </x:c>
      <x:c r="D201" s="1" t="str">
        <x:v>2004-一-08</x:v>
      </x:c>
    </x:row>
    <x:row r="202" ht="22" customHeight="1">
      <x:c r="A202" s="1" t="n">
        <x:v>2004</x:v>
      </x:c>
      <x:c r="B202" s="1" t="str">
        <x:v>M1</x:v>
      </x:c>
      <x:c r="C202" s="1" t="str">
        <x:v>填空</x:v>
      </x:c>
      <x:c r="D202" s="1" t="str">
        <x:v>2004-一-09</x:v>
      </x:c>
    </x:row>
    <x:row r="203" ht="22" customHeight="1">
      <x:c r="A203" s="1" t="n">
        <x:v>2004</x:v>
      </x:c>
      <x:c r="B203" s="1" t="str">
        <x:v>A5</x:v>
      </x:c>
      <x:c r="C203" s="1" t="str">
        <x:v>填空</x:v>
      </x:c>
      <x:c r="D203" s="1" t="str">
        <x:v>2004-一-10</x:v>
      </x:c>
    </x:row>
    <x:row r="204" ht="22" customHeight="1">
      <x:c r="A204" s="1" t="n">
        <x:v>2004</x:v>
      </x:c>
      <x:c r="B204" s="1" t="str">
        <x:v>A2</x:v>
      </x:c>
      <x:c r="C204" s="1" t="str">
        <x:v>填空</x:v>
      </x:c>
      <x:c r="D204" s="1" t="str">
        <x:v>2004-一-11</x:v>
      </x:c>
    </x:row>
    <x:row r="205" ht="22" customHeight="1">
      <x:c r="A205" s="1" t="n">
        <x:v>2004</x:v>
      </x:c>
      <x:c r="B205" s="1" t="str">
        <x:v>A1</x:v>
      </x:c>
      <x:c r="C205" s="1" t="str">
        <x:v>填空</x:v>
      </x:c>
      <x:c r="D205" s="1" t="str">
        <x:v>2004-一-11</x:v>
      </x:c>
    </x:row>
    <x:row r="206" ht="22" customHeight="1">
      <x:c r="A206" s="1" t="n">
        <x:v>2004</x:v>
      </x:c>
      <x:c r="B206" s="1" t="str">
        <x:v>D4</x:v>
      </x:c>
      <x:c r="C206" s="1" t="str">
        <x:v>填空</x:v>
      </x:c>
      <x:c r="D206" s="1" t="str">
        <x:v>2004-一-12</x:v>
      </x:c>
    </x:row>
    <x:row r="207" ht="22" customHeight="1">
      <x:c r="A207" s="1" t="n">
        <x:v>2004</x:v>
      </x:c>
      <x:c r="B207" s="1" t="str">
        <x:v>D3</x:v>
      </x:c>
      <x:c r="C207" s="1" t="str">
        <x:v>填空</x:v>
      </x:c>
      <x:c r="D207" s="1" t="str">
        <x:v>2004-一-12</x:v>
      </x:c>
    </x:row>
    <x:row r="208" ht="22" customHeight="1">
      <x:c r="A208" s="1" t="n">
        <x:v>2004</x:v>
      </x:c>
      <x:c r="B208" s="1" t="str">
        <x:v>D2</x:v>
      </x:c>
      <x:c r="C208" s="1" t="str">
        <x:v>填空</x:v>
      </x:c>
      <x:c r="D208" s="1" t="str">
        <x:v>2004-一-13</x:v>
      </x:c>
    </x:row>
    <x:row r="209" ht="22" customHeight="1">
      <x:c r="A209" s="1" t="n">
        <x:v>2004</x:v>
      </x:c>
      <x:c r="B209" s="1" t="str">
        <x:v>D3</x:v>
      </x:c>
      <x:c r="C209" s="1" t="str">
        <x:v>填空</x:v>
      </x:c>
      <x:c r="D209" s="1" t="str">
        <x:v>2004-一-13</x:v>
      </x:c>
    </x:row>
    <x:row r="210" ht="22" customHeight="1">
      <x:c r="A210" s="1" t="n">
        <x:v>2004</x:v>
      </x:c>
      <x:c r="B210" s="1" t="str">
        <x:v>D5</x:v>
      </x:c>
      <x:c r="C210" s="1" t="str">
        <x:v>填空</x:v>
      </x:c>
      <x:c r="D210" s="1" t="str">
        <x:v>2004-一-14</x:v>
      </x:c>
    </x:row>
    <x:row r="211" ht="22" customHeight="1">
      <x:c r="A211" s="1" t="n">
        <x:v>2004</x:v>
      </x:c>
      <x:c r="B211" s="1" t="str">
        <x:v>X1</x:v>
      </x:c>
      <x:c r="C211" s="1" t="str">
        <x:v>填空</x:v>
      </x:c>
      <x:c r="D211" s="1" t="str">
        <x:v>2004-一-15</x:v>
      </x:c>
    </x:row>
    <x:row r="212" ht="22" customHeight="1">
      <x:c r="A212" s="1" t="n">
        <x:v>2004</x:v>
      </x:c>
      <x:c r="B212" s="1" t="str">
        <x:v>T1</x:v>
      </x:c>
      <x:c r="C212" s="1" t="str">
        <x:v>填空</x:v>
      </x:c>
      <x:c r="D212" s="1" t="str">
        <x:v>2004-一-16</x:v>
      </x:c>
    </x:row>
    <x:row r="213" ht="22" customHeight="1">
      <x:c r="A213" s="1" t="n">
        <x:v>2004</x:v>
      </x:c>
      <x:c r="B213" s="1" t="str">
        <x:v>P1</x:v>
      </x:c>
      <x:c r="C213" s="1" t="str">
        <x:v>计算</x:v>
      </x:c>
      <x:c r="D213" s="1" t="str">
        <x:v>2004-二</x:v>
      </x:c>
    </x:row>
    <x:row r="214" ht="22" customHeight="1">
      <x:c r="A214" s="1" t="n">
        <x:v>2004</x:v>
      </x:c>
      <x:c r="B214" s="1" t="str">
        <x:v>F2</x:v>
      </x:c>
      <x:c r="C214" s="1" t="str">
        <x:v>计算</x:v>
      </x:c>
      <x:c r="D214" s="1" t="str">
        <x:v>2004-二</x:v>
      </x:c>
    </x:row>
    <x:row r="215" ht="22" customHeight="1">
      <x:c r="A215" s="1" t="n">
        <x:v>2004</x:v>
      </x:c>
      <x:c r="B215" s="1" t="str">
        <x:v>F3</x:v>
      </x:c>
      <x:c r="C215" s="1" t="str">
        <x:v>计算</x:v>
      </x:c>
      <x:c r="D215" s="1" t="str">
        <x:v>2004-二</x:v>
      </x:c>
    </x:row>
    <x:row r="216" ht="22" customHeight="1">
      <x:c r="A216" s="1" t="n">
        <x:v>2004</x:v>
      </x:c>
      <x:c r="B216" s="1" t="str">
        <x:v>S4</x:v>
      </x:c>
      <x:c r="C216" s="1" t="str">
        <x:v>计算</x:v>
      </x:c>
      <x:c r="D216" s="1" t="str">
        <x:v>2004-三</x:v>
      </x:c>
    </x:row>
    <x:row r="217" ht="22" customHeight="1">
      <x:c r="A217" s="1" t="n">
        <x:v>2004</x:v>
      </x:c>
      <x:c r="B217" s="1" t="str">
        <x:v>S3</x:v>
      </x:c>
      <x:c r="C217" s="1" t="str">
        <x:v>计算</x:v>
      </x:c>
      <x:c r="D217" s="1" t="str">
        <x:v>2004-三</x:v>
      </x:c>
    </x:row>
    <x:row r="218" ht="22" customHeight="1">
      <x:c r="A218" s="1" t="n">
        <x:v>2004</x:v>
      </x:c>
      <x:c r="B218" s="1" t="str">
        <x:v>H4</x:v>
      </x:c>
      <x:c r="C218" s="1" t="str">
        <x:v>计算</x:v>
      </x:c>
      <x:c r="D218" s="1" t="str">
        <x:v>2004-四</x:v>
      </x:c>
    </x:row>
    <x:row r="219" ht="22" customHeight="1">
      <x:c r="A219" s="1" t="n">
        <x:v>2004</x:v>
      </x:c>
      <x:c r="B219" s="1" t="str">
        <x:v>H3</x:v>
      </x:c>
      <x:c r="C219" s="1" t="str">
        <x:v>计算</x:v>
      </x:c>
      <x:c r="D219" s="1" t="str">
        <x:v>2004-四</x:v>
      </x:c>
    </x:row>
    <x:row r="220" ht="22" customHeight="1">
      <x:c r="A220" s="1" t="n">
        <x:v>2004</x:v>
      </x:c>
      <x:c r="B220" s="1" t="str">
        <x:v>H2</x:v>
      </x:c>
      <x:c r="C220" s="1" t="str">
        <x:v>计算</x:v>
      </x:c>
      <x:c r="D220" s="1" t="str">
        <x:v>2004-四</x:v>
      </x:c>
    </x:row>
    <x:row r="221" ht="22" customHeight="1">
      <x:c r="A221" s="1" t="n">
        <x:v>2004</x:v>
      </x:c>
      <x:c r="B221" s="1" t="str">
        <x:v>H5</x:v>
      </x:c>
      <x:c r="C221" s="1" t="str">
        <x:v>计算</x:v>
      </x:c>
      <x:c r="D221" s="1" t="str">
        <x:v>2004-四</x:v>
      </x:c>
    </x:row>
    <x:row r="222" ht="22" customHeight="1">
      <x:c r="A222" s="1" t="n">
        <x:v>2004</x:v>
      </x:c>
      <x:c r="B222" s="1" t="str">
        <x:v>A4</x:v>
      </x:c>
      <x:c r="C222" s="1" t="str">
        <x:v>计算</x:v>
      </x:c>
      <x:c r="D222" s="1" t="str">
        <x:v>2004-五</x:v>
      </x:c>
    </x:row>
    <x:row r="223" ht="22" customHeight="1">
      <x:c r="A223" s="1" t="n">
        <x:v>2004</x:v>
      </x:c>
      <x:c r="B223" s="1" t="str">
        <x:v>A3</x:v>
      </x:c>
      <x:c r="C223" s="1" t="str">
        <x:v>计算</x:v>
      </x:c>
      <x:c r="D223" s="1" t="str">
        <x:v>2004-五</x:v>
      </x:c>
    </x:row>
    <x:row r="224" ht="22" customHeight="1">
      <x:c r="A224" s="1" t="n">
        <x:v>2004</x:v>
      </x:c>
      <x:c r="B224" s="1" t="str">
        <x:v>A5</x:v>
      </x:c>
      <x:c r="C224" s="1" t="str">
        <x:v>计算</x:v>
      </x:c>
      <x:c r="D224" s="1" t="str">
        <x:v>2004-五</x:v>
      </x:c>
    </x:row>
    <x:row r="225" ht="22" customHeight="1">
      <x:c r="A225" s="1" t="n">
        <x:v>2004</x:v>
      </x:c>
      <x:c r="B225" s="1" t="str">
        <x:v>D2</x:v>
      </x:c>
      <x:c r="C225" s="1" t="str">
        <x:v>计算</x:v>
      </x:c>
      <x:c r="D225" s="1" t="str">
        <x:v>2004-六</x:v>
      </x:c>
    </x:row>
    <x:row r="226" ht="22" customHeight="1">
      <x:c r="A226" s="1" t="n">
        <x:v>2004</x:v>
      </x:c>
      <x:c r="B226" s="1" t="str">
        <x:v>D4</x:v>
      </x:c>
      <x:c r="C226" s="1" t="str">
        <x:v>计算</x:v>
      </x:c>
      <x:c r="D226" s="1" t="str">
        <x:v>2004-六</x:v>
      </x:c>
    </x:row>
    <x:row r="227" ht="22" customHeight="1">
      <x:c r="A227" s="1" t="n">
        <x:v>2005</x:v>
      </x:c>
      <x:c r="B227" s="1" t="str">
        <x:v>F3</x:v>
      </x:c>
      <x:c r="C227" s="1" t="str">
        <x:v>填空</x:v>
      </x:c>
      <x:c r="D227" s="1" t="str">
        <x:v>2005-一-01</x:v>
      </x:c>
    </x:row>
    <x:row r="228" ht="22" customHeight="1">
      <x:c r="A228" s="1" t="n">
        <x:v>2005</x:v>
      </x:c>
      <x:c r="B228" s="1" t="str">
        <x:v>F1</x:v>
      </x:c>
      <x:c r="C228" s="1" t="str">
        <x:v>填空</x:v>
      </x:c>
      <x:c r="D228" s="1" t="str">
        <x:v>2005-一-02</x:v>
      </x:c>
    </x:row>
    <x:row r="229" ht="22" customHeight="1">
      <x:c r="A229" s="1" t="n">
        <x:v>2005</x:v>
      </x:c>
      <x:c r="B229" s="1" t="str">
        <x:v>P1</x:v>
      </x:c>
      <x:c r="C229" s="1" t="str">
        <x:v>填空</x:v>
      </x:c>
      <x:c r="D229" s="1" t="str">
        <x:v>2005-一-03</x:v>
      </x:c>
    </x:row>
    <x:row r="230" ht="22" customHeight="1">
      <x:c r="A230" s="1" t="n">
        <x:v>2005</x:v>
      </x:c>
      <x:c r="B230" s="1" t="str">
        <x:v>P2</x:v>
      </x:c>
      <x:c r="C230" s="1" t="str">
        <x:v>填空</x:v>
      </x:c>
      <x:c r="D230" s="1" t="str">
        <x:v>2005-一-04</x:v>
      </x:c>
    </x:row>
    <x:row r="231" ht="22" customHeight="1">
      <x:c r="A231" s="1" t="n">
        <x:v>2005</x:v>
      </x:c>
      <x:c r="B231" s="1" t="str">
        <x:v>S2</x:v>
      </x:c>
      <x:c r="C231" s="1" t="str">
        <x:v>填空</x:v>
      </x:c>
      <x:c r="D231" s="1" t="str">
        <x:v>2005-一-05</x:v>
      </x:c>
    </x:row>
    <x:row r="232" ht="22" customHeight="1">
      <x:c r="A232" s="1" t="n">
        <x:v>2005</x:v>
      </x:c>
      <x:c r="B232" s="1" t="str">
        <x:v>B1</x:v>
      </x:c>
      <x:c r="C232" s="1" t="str">
        <x:v>填空</x:v>
      </x:c>
      <x:c r="D232" s="1" t="str">
        <x:v>2005-一-06</x:v>
      </x:c>
    </x:row>
    <x:row r="233" ht="22" customHeight="1">
      <x:c r="A233" s="1" t="n">
        <x:v>2005</x:v>
      </x:c>
      <x:c r="B233" s="1" t="str">
        <x:v>H1</x:v>
      </x:c>
      <x:c r="C233" s="1" t="str">
        <x:v>填空</x:v>
      </x:c>
      <x:c r="D233" s="1" t="str">
        <x:v>2005-一-07</x:v>
      </x:c>
    </x:row>
    <x:row r="234" ht="22" customHeight="1">
      <x:c r="A234" s="1" t="n">
        <x:v>2005</x:v>
      </x:c>
      <x:c r="B234" s="1" t="str">
        <x:v>H6</x:v>
      </x:c>
      <x:c r="C234" s="1" t="str">
        <x:v>填空</x:v>
      </x:c>
      <x:c r="D234" s="1" t="str">
        <x:v>2005-一-08</x:v>
      </x:c>
    </x:row>
    <x:row r="235" ht="22" customHeight="1">
      <x:c r="A235" s="1" t="n">
        <x:v>2005</x:v>
      </x:c>
      <x:c r="B235" s="1" t="str">
        <x:v>H5</x:v>
      </x:c>
      <x:c r="C235" s="1" t="str">
        <x:v>填空</x:v>
      </x:c>
      <x:c r="D235" s="1" t="str">
        <x:v>2005-一-09</x:v>
      </x:c>
    </x:row>
    <x:row r="236" ht="22" customHeight="1">
      <x:c r="A236" s="1" t="n">
        <x:v>2005</x:v>
      </x:c>
      <x:c r="B236" s="1" t="str">
        <x:v>H2</x:v>
      </x:c>
      <x:c r="C236" s="1" t="str">
        <x:v>填空</x:v>
      </x:c>
      <x:c r="D236" s="1" t="str">
        <x:v>2005-一-09</x:v>
      </x:c>
    </x:row>
    <x:row r="237" ht="22" customHeight="1">
      <x:c r="A237" s="1" t="n">
        <x:v>2005</x:v>
      </x:c>
      <x:c r="B237" s="1" t="str">
        <x:v>A5</x:v>
      </x:c>
      <x:c r="C237" s="1" t="str">
        <x:v>填空</x:v>
      </x:c>
      <x:c r="D237" s="1" t="str">
        <x:v>2005-一-10</x:v>
      </x:c>
    </x:row>
    <x:row r="238" ht="22" customHeight="1">
      <x:c r="A238" s="1" t="n">
        <x:v>2005</x:v>
      </x:c>
      <x:c r="B238" s="1" t="str">
        <x:v>A4</x:v>
      </x:c>
      <x:c r="C238" s="1" t="str">
        <x:v>填空</x:v>
      </x:c>
      <x:c r="D238" s="1" t="str">
        <x:v>2005-一-10</x:v>
      </x:c>
    </x:row>
    <x:row r="239" ht="22" customHeight="1">
      <x:c r="A239" s="1" t="n">
        <x:v>2005</x:v>
      </x:c>
      <x:c r="B239" s="1" t="str">
        <x:v>A5</x:v>
      </x:c>
      <x:c r="C239" s="1" t="str">
        <x:v>填空</x:v>
      </x:c>
      <x:c r="D239" s="1" t="str">
        <x:v>2005-一-11</x:v>
      </x:c>
    </x:row>
    <x:row r="240" ht="22" customHeight="1">
      <x:c r="A240" s="1" t="n">
        <x:v>2005</x:v>
      </x:c>
      <x:c r="B240" s="1" t="str">
        <x:v>A2</x:v>
      </x:c>
      <x:c r="C240" s="1" t="str">
        <x:v>填空</x:v>
      </x:c>
      <x:c r="D240" s="1" t="str">
        <x:v>2005-一-11</x:v>
      </x:c>
    </x:row>
    <x:row r="241" ht="22" customHeight="1">
      <x:c r="A241" s="1" t="n">
        <x:v>2005</x:v>
      </x:c>
      <x:c r="B241" s="1" t="str">
        <x:v>D2</x:v>
      </x:c>
      <x:c r="C241" s="1" t="str">
        <x:v>填空</x:v>
      </x:c>
      <x:c r="D241" s="1" t="str">
        <x:v>2005-一-12</x:v>
      </x:c>
    </x:row>
    <x:row r="242" ht="22" customHeight="1">
      <x:c r="A242" s="1" t="n">
        <x:v>2005</x:v>
      </x:c>
      <x:c r="B242" s="1" t="str">
        <x:v>D4</x:v>
      </x:c>
      <x:c r="C242" s="1" t="str">
        <x:v>填空</x:v>
      </x:c>
      <x:c r="D242" s="1" t="str">
        <x:v>2005-一-12</x:v>
      </x:c>
    </x:row>
    <x:row r="243" ht="22" customHeight="1">
      <x:c r="A243" s="1" t="n">
        <x:v>2005</x:v>
      </x:c>
      <x:c r="B243" s="1" t="str">
        <x:v>A4</x:v>
      </x:c>
      <x:c r="C243" s="1" t="str">
        <x:v>填空</x:v>
      </x:c>
      <x:c r="D243" s="1" t="str">
        <x:v>2005-一-13</x:v>
      </x:c>
    </x:row>
    <x:row r="244" ht="22" customHeight="1">
      <x:c r="A244" s="1" t="n">
        <x:v>2005</x:v>
      </x:c>
      <x:c r="B244" s="1" t="str">
        <x:v>D2</x:v>
      </x:c>
      <x:c r="C244" s="1" t="str">
        <x:v>填空</x:v>
      </x:c>
      <x:c r="D244" s="1" t="str">
        <x:v>2005-一-14</x:v>
      </x:c>
    </x:row>
    <x:row r="245" ht="22" customHeight="1">
      <x:c r="A245" s="1" t="n">
        <x:v>2005</x:v>
      </x:c>
      <x:c r="B245" s="1" t="str">
        <x:v>D3</x:v>
      </x:c>
      <x:c r="C245" s="1" t="str">
        <x:v>填空</x:v>
      </x:c>
      <x:c r="D245" s="1" t="str">
        <x:v>2005-一-14</x:v>
      </x:c>
    </x:row>
    <x:row r="246" ht="22" customHeight="1">
      <x:c r="A246" s="1" t="n">
        <x:v>2005</x:v>
      </x:c>
      <x:c r="B246" s="1" t="str">
        <x:v>D5</x:v>
      </x:c>
      <x:c r="C246" s="1" t="str">
        <x:v>填空</x:v>
      </x:c>
      <x:c r="D246" s="1" t="str">
        <x:v>2005-一-15</x:v>
      </x:c>
    </x:row>
    <x:row r="247" ht="22" customHeight="1">
      <x:c r="A247" s="1" t="n">
        <x:v>2005</x:v>
      </x:c>
      <x:c r="B247" s="1" t="str">
        <x:v>X1</x:v>
      </x:c>
      <x:c r="C247" s="1" t="str">
        <x:v>填空</x:v>
      </x:c>
      <x:c r="D247" s="1" t="str">
        <x:v>2005-一-16</x:v>
      </x:c>
    </x:row>
    <x:row r="248" ht="22" customHeight="1">
      <x:c r="A248" s="1" t="n">
        <x:v>2005</x:v>
      </x:c>
      <x:c r="B248" s="1" t="str">
        <x:v>T1</x:v>
      </x:c>
      <x:c r="C248" s="1" t="str">
        <x:v>填空</x:v>
      </x:c>
      <x:c r="D248" s="1" t="str">
        <x:v>2005-一-17</x:v>
      </x:c>
    </x:row>
    <x:row r="249" ht="22" customHeight="1">
      <x:c r="A249" s="1" t="n">
        <x:v>2005</x:v>
      </x:c>
      <x:c r="B249" s="1" t="str">
        <x:v>P1</x:v>
      </x:c>
      <x:c r="C249" s="1" t="str">
        <x:v>计算</x:v>
      </x:c>
      <x:c r="D249" s="1" t="str">
        <x:v>2005-二</x:v>
      </x:c>
    </x:row>
    <x:row r="250" ht="22" customHeight="1">
      <x:c r="A250" s="1" t="n">
        <x:v>2005</x:v>
      </x:c>
      <x:c r="B250" s="1" t="str">
        <x:v>F2</x:v>
      </x:c>
      <x:c r="C250" s="1" t="str">
        <x:v>计算</x:v>
      </x:c>
      <x:c r="D250" s="1" t="str">
        <x:v>2005-二</x:v>
      </x:c>
    </x:row>
    <x:row r="251" ht="22" customHeight="1">
      <x:c r="A251" s="1" t="n">
        <x:v>2005</x:v>
      </x:c>
      <x:c r="B251" s="1" t="str">
        <x:v>F3</x:v>
      </x:c>
      <x:c r="C251" s="1" t="str">
        <x:v>计算</x:v>
      </x:c>
      <x:c r="D251" s="1" t="str">
        <x:v>2005-二</x:v>
      </x:c>
    </x:row>
    <x:row r="252" ht="22" customHeight="1">
      <x:c r="A252" s="1" t="n">
        <x:v>2005</x:v>
      </x:c>
      <x:c r="B252" s="1" t="str">
        <x:v>S4</x:v>
      </x:c>
      <x:c r="C252" s="1" t="str">
        <x:v>计算</x:v>
      </x:c>
      <x:c r="D252" s="1" t="str">
        <x:v>2005-三</x:v>
      </x:c>
    </x:row>
    <x:row r="253" ht="22" customHeight="1">
      <x:c r="A253" s="1" t="n">
        <x:v>2005</x:v>
      </x:c>
      <x:c r="B253" s="1" t="str">
        <x:v>S3</x:v>
      </x:c>
      <x:c r="C253" s="1" t="str">
        <x:v>计算</x:v>
      </x:c>
      <x:c r="D253" s="1" t="str">
        <x:v>2005-三</x:v>
      </x:c>
    </x:row>
    <x:row r="254" ht="22" customHeight="1">
      <x:c r="A254" s="1" t="n">
        <x:v>2005</x:v>
      </x:c>
      <x:c r="B254" s="1" t="str">
        <x:v>H4</x:v>
      </x:c>
      <x:c r="C254" s="1" t="str">
        <x:v>计算</x:v>
      </x:c>
      <x:c r="D254" s="1" t="str">
        <x:v>2005-四</x:v>
      </x:c>
    </x:row>
    <x:row r="255" ht="22" customHeight="1">
      <x:c r="A255" s="1" t="n">
        <x:v>2005</x:v>
      </x:c>
      <x:c r="B255" s="1" t="str">
        <x:v>H2</x:v>
      </x:c>
      <x:c r="C255" s="1" t="str">
        <x:v>计算</x:v>
      </x:c>
      <x:c r="D255" s="1" t="str">
        <x:v>2005-四</x:v>
      </x:c>
    </x:row>
    <x:row r="256" ht="22" customHeight="1">
      <x:c r="A256" s="1" t="n">
        <x:v>2005</x:v>
      </x:c>
      <x:c r="B256" s="1" t="str">
        <x:v>H3</x:v>
      </x:c>
      <x:c r="C256" s="1" t="str">
        <x:v>计算</x:v>
      </x:c>
      <x:c r="D256" s="1" t="str">
        <x:v>2005-四</x:v>
      </x:c>
    </x:row>
    <x:row r="257" ht="22" customHeight="1">
      <x:c r="A257" s="1" t="n">
        <x:v>2005</x:v>
      </x:c>
      <x:c r="B257" s="1" t="str">
        <x:v>A4</x:v>
      </x:c>
      <x:c r="C257" s="1" t="str">
        <x:v>计算</x:v>
      </x:c>
      <x:c r="D257" s="1" t="str">
        <x:v>2005-五</x:v>
      </x:c>
    </x:row>
    <x:row r="258" ht="22" customHeight="1">
      <x:c r="A258" s="1" t="n">
        <x:v>2005</x:v>
      </x:c>
      <x:c r="B258" s="1" t="str">
        <x:v>A3</x:v>
      </x:c>
      <x:c r="C258" s="1" t="str">
        <x:v>计算</x:v>
      </x:c>
      <x:c r="D258" s="1" t="str">
        <x:v>2005-五</x:v>
      </x:c>
    </x:row>
    <x:row r="259" ht="22" customHeight="1">
      <x:c r="A259" s="1" t="n">
        <x:v>2005</x:v>
      </x:c>
      <x:c r="B259" s="1" t="str">
        <x:v>A5</x:v>
      </x:c>
      <x:c r="C259" s="1" t="str">
        <x:v>计算</x:v>
      </x:c>
      <x:c r="D259" s="1" t="str">
        <x:v>2005-五</x:v>
      </x:c>
    </x:row>
    <x:row r="260" ht="22" customHeight="1">
      <x:c r="A260" s="1" t="n">
        <x:v>2005</x:v>
      </x:c>
      <x:c r="B260" s="1" t="str">
        <x:v>D2</x:v>
      </x:c>
      <x:c r="C260" s="1" t="str">
        <x:v>计算</x:v>
      </x:c>
      <x:c r="D260" s="1" t="str">
        <x:v>2005-六</x:v>
      </x:c>
    </x:row>
    <x:row r="261" ht="22" customHeight="1">
      <x:c r="A261" s="1" t="n">
        <x:v>2005</x:v>
      </x:c>
      <x:c r="B261" s="1" t="str">
        <x:v>D3</x:v>
      </x:c>
      <x:c r="C261" s="1" t="str">
        <x:v>计算</x:v>
      </x:c>
      <x:c r="D261" s="1" t="str">
        <x:v>2005-六</x:v>
      </x:c>
    </x:row>
    <x:row r="262" ht="22" customHeight="1">
      <x:c r="A262" s="1" t="n">
        <x:v>2005</x:v>
      </x:c>
      <x:c r="B262" s="1" t="str">
        <x:v>D1</x:v>
      </x:c>
      <x:c r="C262" s="1" t="str">
        <x:v>计算</x:v>
      </x:c>
      <x:c r="D262" s="1" t="str">
        <x:v>2005-六</x:v>
      </x:c>
    </x:row>
    <x:row r="263" ht="22" customHeight="1">
      <x:c r="A263" s="1" t="n">
        <x:v>2006</x:v>
      </x:c>
      <x:c r="B263" s="1" t="str">
        <x:v>F4</x:v>
      </x:c>
      <x:c r="C263" s="1" t="str">
        <x:v>填空</x:v>
      </x:c>
      <x:c r="D263" s="1" t="str">
        <x:v>2006-一-01</x:v>
      </x:c>
    </x:row>
    <x:row r="264" ht="22" customHeight="1">
      <x:c r="A264" s="1" t="n">
        <x:v>2006</x:v>
      </x:c>
      <x:c r="B264" s="1" t="str">
        <x:v>F5</x:v>
      </x:c>
      <x:c r="C264" s="1" t="str">
        <x:v>填空</x:v>
      </x:c>
      <x:c r="D264" s="1" t="str">
        <x:v>2006-一-02</x:v>
      </x:c>
    </x:row>
    <x:row r="265" ht="22" customHeight="1">
      <x:c r="A265" s="1" t="n">
        <x:v>2006</x:v>
      </x:c>
      <x:c r="B265" s="1" t="str">
        <x:v>P2</x:v>
      </x:c>
      <x:c r="C265" s="1" t="str">
        <x:v>填空</x:v>
      </x:c>
      <x:c r="D265" s="1" t="str">
        <x:v>2006-一-03</x:v>
      </x:c>
    </x:row>
    <x:row r="266" ht="22" customHeight="1">
      <x:c r="A266" s="1" t="n">
        <x:v>2006</x:v>
      </x:c>
      <x:c r="B266" s="1" t="str">
        <x:v>S1</x:v>
      </x:c>
      <x:c r="C266" s="1" t="str">
        <x:v>填空</x:v>
      </x:c>
      <x:c r="D266" s="1" t="str">
        <x:v>2006-一-04</x:v>
      </x:c>
    </x:row>
    <x:row r="267" ht="22" customHeight="1">
      <x:c r="A267" s="1" t="n">
        <x:v>2006</x:v>
      </x:c>
      <x:c r="B267" s="1" t="str">
        <x:v>B1</x:v>
      </x:c>
      <x:c r="C267" s="1" t="str">
        <x:v>填空</x:v>
      </x:c>
      <x:c r="D267" s="1" t="str">
        <x:v>2006-一-05</x:v>
      </x:c>
    </x:row>
    <x:row r="268" ht="22" customHeight="1">
      <x:c r="A268" s="1" t="n">
        <x:v>2006</x:v>
      </x:c>
      <x:c r="B268" s="1" t="str">
        <x:v>S4</x:v>
      </x:c>
      <x:c r="C268" s="1" t="str">
        <x:v>填空</x:v>
      </x:c>
      <x:c r="D268" s="1" t="str">
        <x:v>2006-一-06</x:v>
      </x:c>
    </x:row>
    <x:row r="269" ht="22" customHeight="1">
      <x:c r="A269" s="1" t="n">
        <x:v>2006</x:v>
      </x:c>
      <x:c r="B269" s="1" t="str">
        <x:v>S3</x:v>
      </x:c>
      <x:c r="C269" s="1" t="str">
        <x:v>填空</x:v>
      </x:c>
      <x:c r="D269" s="1" t="str">
        <x:v>2006-一-06</x:v>
      </x:c>
    </x:row>
    <x:row r="270" ht="22" customHeight="1">
      <x:c r="A270" s="1" t="n">
        <x:v>2006</x:v>
      </x:c>
      <x:c r="B270" s="1" t="str">
        <x:v>O1</x:v>
      </x:c>
      <x:c r="C270" s="1" t="str">
        <x:v>填空</x:v>
      </x:c>
      <x:c r="D270" s="1" t="str">
        <x:v>2006-一-07</x:v>
      </x:c>
    </x:row>
    <x:row r="271" ht="22" customHeight="1">
      <x:c r="A271" s="1" t="n">
        <x:v>2006</x:v>
      </x:c>
      <x:c r="B271" s="1" t="str">
        <x:v>H1</x:v>
      </x:c>
      <x:c r="C271" s="1" t="str">
        <x:v>填空</x:v>
      </x:c>
      <x:c r="D271" s="1" t="str">
        <x:v>2006-一-08</x:v>
      </x:c>
    </x:row>
    <x:row r="272" ht="22" customHeight="1">
      <x:c r="A272" s="1" t="n">
        <x:v>2006</x:v>
      </x:c>
      <x:c r="B272" s="1" t="str">
        <x:v>H6</x:v>
      </x:c>
      <x:c r="C272" s="1" t="str">
        <x:v>填空</x:v>
      </x:c>
      <x:c r="D272" s="1" t="str">
        <x:v>2006-一-09</x:v>
      </x:c>
    </x:row>
    <x:row r="273" ht="22" customHeight="1">
      <x:c r="A273" s="1" t="n">
        <x:v>2006</x:v>
      </x:c>
      <x:c r="B273" s="1" t="str">
        <x:v>H5</x:v>
      </x:c>
      <x:c r="C273" s="1" t="str">
        <x:v>填空</x:v>
      </x:c>
      <x:c r="D273" s="1" t="str">
        <x:v>2006-一-09</x:v>
      </x:c>
    </x:row>
    <x:row r="274" ht="22" customHeight="1">
      <x:c r="A274" s="1" t="n">
        <x:v>2006</x:v>
      </x:c>
      <x:c r="B274" s="1" t="str">
        <x:v>A2</x:v>
      </x:c>
      <x:c r="C274" s="1" t="str">
        <x:v>填空</x:v>
      </x:c>
      <x:c r="D274" s="1" t="str">
        <x:v>2006-一-10</x:v>
      </x:c>
    </x:row>
    <x:row r="275" ht="22" customHeight="1">
      <x:c r="A275" s="1" t="n">
        <x:v>2006</x:v>
      </x:c>
      <x:c r="B275" s="1" t="str">
        <x:v>A2</x:v>
      </x:c>
      <x:c r="C275" s="1" t="str">
        <x:v>填空</x:v>
      </x:c>
      <x:c r="D275" s="1" t="str">
        <x:v>2006-一-11</x:v>
      </x:c>
    </x:row>
    <x:row r="276" ht="22" customHeight="1">
      <x:c r="A276" s="1" t="n">
        <x:v>2006</x:v>
      </x:c>
      <x:c r="B276" s="1" t="str">
        <x:v>A3</x:v>
      </x:c>
      <x:c r="C276" s="1" t="str">
        <x:v>填空</x:v>
      </x:c>
      <x:c r="D276" s="1" t="str">
        <x:v>2006-一-12</x:v>
      </x:c>
    </x:row>
    <x:row r="277" ht="22" customHeight="1">
      <x:c r="A277" s="1" t="n">
        <x:v>2006</x:v>
      </x:c>
      <x:c r="B277" s="1" t="str">
        <x:v>A3</x:v>
      </x:c>
      <x:c r="C277" s="1" t="str">
        <x:v>填空</x:v>
      </x:c>
      <x:c r="D277" s="1" t="str">
        <x:v>2006-一-13</x:v>
      </x:c>
    </x:row>
    <x:row r="278" ht="22" customHeight="1">
      <x:c r="A278" s="1" t="n">
        <x:v>2006</x:v>
      </x:c>
      <x:c r="B278" s="1" t="str">
        <x:v>D5</x:v>
      </x:c>
      <x:c r="C278" s="1" t="str">
        <x:v>填空</x:v>
      </x:c>
      <x:c r="D278" s="1" t="str">
        <x:v>2006-一-14</x:v>
      </x:c>
    </x:row>
    <x:row r="279" ht="22" customHeight="1">
      <x:c r="A279" s="1" t="n">
        <x:v>2006</x:v>
      </x:c>
      <x:c r="B279" s="1" t="str">
        <x:v>D2</x:v>
      </x:c>
      <x:c r="C279" s="1" t="str">
        <x:v>填空</x:v>
      </x:c>
      <x:c r="D279" s="1" t="str">
        <x:v>2006-一-15</x:v>
      </x:c>
    </x:row>
    <x:row r="280" ht="22" customHeight="1">
      <x:c r="A280" s="1" t="n">
        <x:v>2006</x:v>
      </x:c>
      <x:c r="B280" s="1" t="str">
        <x:v>D3</x:v>
      </x:c>
      <x:c r="C280" s="1" t="str">
        <x:v>填空</x:v>
      </x:c>
      <x:c r="D280" s="1" t="str">
        <x:v>2006-一-16</x:v>
      </x:c>
    </x:row>
    <x:row r="281" ht="22" customHeight="1">
      <x:c r="A281" s="1" t="n">
        <x:v>2006</x:v>
      </x:c>
      <x:c r="B281" s="1" t="str">
        <x:v>X1</x:v>
      </x:c>
      <x:c r="C281" s="1" t="str">
        <x:v>填空</x:v>
      </x:c>
      <x:c r="D281" s="1" t="str">
        <x:v>2006-一-17</x:v>
      </x:c>
    </x:row>
    <x:row r="282" ht="22" customHeight="1">
      <x:c r="A282" s="1" t="n">
        <x:v>2006</x:v>
      </x:c>
      <x:c r="B282" s="1" t="str">
        <x:v>T1</x:v>
      </x:c>
      <x:c r="C282" s="1" t="str">
        <x:v>填空</x:v>
      </x:c>
      <x:c r="D282" s="1" t="str">
        <x:v>2006-一-18</x:v>
      </x:c>
    </x:row>
    <x:row r="283" ht="22" customHeight="1">
      <x:c r="A283" s="1" t="n">
        <x:v>2006</x:v>
      </x:c>
      <x:c r="B283" s="1" t="str">
        <x:v>P1</x:v>
      </x:c>
      <x:c r="C283" s="1" t="str">
        <x:v>计算</x:v>
      </x:c>
      <x:c r="D283" s="1" t="str">
        <x:v>2006-二</x:v>
      </x:c>
    </x:row>
    <x:row r="284" ht="22" customHeight="1">
      <x:c r="A284" s="1" t="n">
        <x:v>2006</x:v>
      </x:c>
      <x:c r="B284" s="1" t="str">
        <x:v>F2</x:v>
      </x:c>
      <x:c r="C284" s="1" t="str">
        <x:v>计算</x:v>
      </x:c>
      <x:c r="D284" s="1" t="str">
        <x:v>2006-二</x:v>
      </x:c>
    </x:row>
    <x:row r="285" ht="22" customHeight="1">
      <x:c r="A285" s="1" t="n">
        <x:v>2006</x:v>
      </x:c>
      <x:c r="B285" s="1" t="str">
        <x:v>F3</x:v>
      </x:c>
      <x:c r="C285" s="1" t="str">
        <x:v>计算</x:v>
      </x:c>
      <x:c r="D285" s="1" t="str">
        <x:v>2006-二</x:v>
      </x:c>
    </x:row>
    <x:row r="286" ht="22" customHeight="1">
      <x:c r="A286" s="1" t="n">
        <x:v>2006</x:v>
      </x:c>
      <x:c r="B286" s="1" t="str">
        <x:v>P2</x:v>
      </x:c>
      <x:c r="C286" s="1" t="str">
        <x:v>计算</x:v>
      </x:c>
      <x:c r="D286" s="1" t="str">
        <x:v>2006-二</x:v>
      </x:c>
    </x:row>
    <x:row r="287" ht="22" customHeight="1">
      <x:c r="A287" s="1" t="n">
        <x:v>2006</x:v>
      </x:c>
      <x:c r="B287" s="1" t="str">
        <x:v>F1</x:v>
      </x:c>
      <x:c r="C287" s="1" t="str">
        <x:v>计算</x:v>
      </x:c>
      <x:c r="D287" s="1" t="str">
        <x:v>2006-二</x:v>
      </x:c>
    </x:row>
    <x:row r="288" ht="22" customHeight="1">
      <x:c r="A288" s="1" t="n">
        <x:v>2006</x:v>
      </x:c>
      <x:c r="B288" s="1" t="str">
        <x:v>S4</x:v>
      </x:c>
      <x:c r="C288" s="1" t="str">
        <x:v>计算</x:v>
      </x:c>
      <x:c r="D288" s="1" t="str">
        <x:v>2006-三</x:v>
      </x:c>
    </x:row>
    <x:row r="289" ht="22" customHeight="1">
      <x:c r="A289" s="1" t="n">
        <x:v>2006</x:v>
      </x:c>
      <x:c r="B289" s="1" t="str">
        <x:v>S3</x:v>
      </x:c>
      <x:c r="C289" s="1" t="str">
        <x:v>计算</x:v>
      </x:c>
      <x:c r="D289" s="1" t="str">
        <x:v>2006-三</x:v>
      </x:c>
    </x:row>
    <x:row r="290" ht="22" customHeight="1">
      <x:c r="A290" s="1" t="n">
        <x:v>2006</x:v>
      </x:c>
      <x:c r="B290" s="1" t="str">
        <x:v>H4</x:v>
      </x:c>
      <x:c r="C290" s="1" t="str">
        <x:v>计算</x:v>
      </x:c>
      <x:c r="D290" s="1" t="str">
        <x:v>2006-四</x:v>
      </x:c>
    </x:row>
    <x:row r="291" ht="22" customHeight="1">
      <x:c r="A291" s="1" t="n">
        <x:v>2006</x:v>
      </x:c>
      <x:c r="B291" s="1" t="str">
        <x:v>H2</x:v>
      </x:c>
      <x:c r="C291" s="1" t="str">
        <x:v>计算</x:v>
      </x:c>
      <x:c r="D291" s="1" t="str">
        <x:v>2006-四</x:v>
      </x:c>
    </x:row>
    <x:row r="292" ht="22" customHeight="1">
      <x:c r="A292" s="1" t="n">
        <x:v>2006</x:v>
      </x:c>
      <x:c r="B292" s="1" t="str">
        <x:v>H3</x:v>
      </x:c>
      <x:c r="C292" s="1" t="str">
        <x:v>计算</x:v>
      </x:c>
      <x:c r="D292" s="1" t="str">
        <x:v>2006-四</x:v>
      </x:c>
    </x:row>
    <x:row r="293" ht="22" customHeight="1">
      <x:c r="A293" s="1" t="n">
        <x:v>2006</x:v>
      </x:c>
      <x:c r="B293" s="1" t="str">
        <x:v>F3</x:v>
      </x:c>
      <x:c r="C293" s="1" t="str">
        <x:v>计算</x:v>
      </x:c>
      <x:c r="D293" s="1" t="str">
        <x:v>2006-四</x:v>
      </x:c>
    </x:row>
    <x:row r="294" ht="22" customHeight="1">
      <x:c r="A294" s="1" t="n">
        <x:v>2006</x:v>
      </x:c>
      <x:c r="B294" s="1" t="str">
        <x:v>A4</x:v>
      </x:c>
      <x:c r="C294" s="1" t="str">
        <x:v>计算</x:v>
      </x:c>
      <x:c r="D294" s="1" t="str">
        <x:v>2006-五</x:v>
      </x:c>
    </x:row>
    <x:row r="295" ht="22" customHeight="1">
      <x:c r="A295" s="1" t="n">
        <x:v>2006</x:v>
      </x:c>
      <x:c r="B295" s="1" t="str">
        <x:v>A3</x:v>
      </x:c>
      <x:c r="C295" s="1" t="str">
        <x:v>计算</x:v>
      </x:c>
      <x:c r="D295" s="1" t="str">
        <x:v>2006-五</x:v>
      </x:c>
    </x:row>
    <x:row r="296" ht="22" customHeight="1">
      <x:c r="A296" s="1" t="n">
        <x:v>2006</x:v>
      </x:c>
      <x:c r="B296" s="1" t="str">
        <x:v>A5</x:v>
      </x:c>
      <x:c r="C296" s="1" t="str">
        <x:v>计算</x:v>
      </x:c>
      <x:c r="D296" s="1" t="str">
        <x:v>2006-五</x:v>
      </x:c>
    </x:row>
    <x:row r="297" ht="22" customHeight="1">
      <x:c r="A297" s="1" t="n">
        <x:v>2006</x:v>
      </x:c>
      <x:c r="B297" s="1" t="str">
        <x:v>D2</x:v>
      </x:c>
      <x:c r="C297" s="1" t="str">
        <x:v>计算</x:v>
      </x:c>
      <x:c r="D297" s="1" t="str">
        <x:v>2006-六</x:v>
      </x:c>
    </x:row>
    <x:row r="298" ht="22" customHeight="1">
      <x:c r="A298" s="1" t="n">
        <x:v>2006</x:v>
      </x:c>
      <x:c r="B298" s="1" t="str">
        <x:v>D4</x:v>
      </x:c>
      <x:c r="C298" s="1" t="str">
        <x:v>计算</x:v>
      </x:c>
      <x:c r="D298" s="1" t="str">
        <x:v>2006-六</x:v>
      </x:c>
    </x:row>
    <x:row r="299" ht="22" customHeight="1">
      <x:c r="A299" s="1" t="n">
        <x:v>2007</x:v>
      </x:c>
      <x:c r="B299" s="1" t="str">
        <x:v>F1</x:v>
      </x:c>
      <x:c r="C299" s="1" t="str">
        <x:v>填空</x:v>
      </x:c>
      <x:c r="D299" s="1" t="str">
        <x:v>2007-一-01</x:v>
      </x:c>
    </x:row>
    <x:row r="300" ht="22" customHeight="1">
      <x:c r="A300" s="1" t="n">
        <x:v>2007</x:v>
      </x:c>
      <x:c r="B300" s="1" t="str">
        <x:v>F3</x:v>
      </x:c>
      <x:c r="C300" s="1" t="str">
        <x:v>填空</x:v>
      </x:c>
      <x:c r="D300" s="1" t="str">
        <x:v>2007-一-02</x:v>
      </x:c>
    </x:row>
    <x:row r="301" ht="22" customHeight="1">
      <x:c r="A301" s="1" t="n">
        <x:v>2007</x:v>
      </x:c>
      <x:c r="B301" s="1" t="str">
        <x:v>F3</x:v>
      </x:c>
      <x:c r="C301" s="1" t="str">
        <x:v>填空</x:v>
      </x:c>
      <x:c r="D301" s="1" t="str">
        <x:v>2007-一-03</x:v>
      </x:c>
    </x:row>
    <x:row r="302" ht="22" customHeight="1">
      <x:c r="A302" s="1" t="n">
        <x:v>2007</x:v>
      </x:c>
      <x:c r="B302" s="1" t="str">
        <x:v>F5</x:v>
      </x:c>
      <x:c r="C302" s="1" t="str">
        <x:v>填空</x:v>
      </x:c>
      <x:c r="D302" s="1" t="str">
        <x:v>2007-一-04</x:v>
      </x:c>
    </x:row>
    <x:row r="303" ht="22" customHeight="1">
      <x:c r="A303" s="1" t="n">
        <x:v>2007</x:v>
      </x:c>
      <x:c r="B303" s="1" t="str">
        <x:v>P1</x:v>
      </x:c>
      <x:c r="C303" s="1" t="str">
        <x:v>填空</x:v>
      </x:c>
      <x:c r="D303" s="1" t="str">
        <x:v>2007-一-05</x:v>
      </x:c>
    </x:row>
    <x:row r="304" ht="22" customHeight="1">
      <x:c r="A304" s="1" t="n">
        <x:v>2007</x:v>
      </x:c>
      <x:c r="B304" s="1" t="str">
        <x:v>B1</x:v>
      </x:c>
      <x:c r="C304" s="1" t="str">
        <x:v>填空</x:v>
      </x:c>
      <x:c r="D304" s="1" t="str">
        <x:v>2007-一-06</x:v>
      </x:c>
    </x:row>
    <x:row r="305" ht="22" customHeight="1">
      <x:c r="A305" s="1" t="n">
        <x:v>2007</x:v>
      </x:c>
      <x:c r="B305" s="1" t="str">
        <x:v>S2</x:v>
      </x:c>
      <x:c r="C305" s="1" t="str">
        <x:v>填空</x:v>
      </x:c>
      <x:c r="D305" s="1" t="str">
        <x:v>2007-一-07</x:v>
      </x:c>
    </x:row>
    <x:row r="306" ht="22" customHeight="1">
      <x:c r="A306" s="1" t="n">
        <x:v>2007</x:v>
      </x:c>
      <x:c r="B306" s="1" t="str">
        <x:v>S3</x:v>
      </x:c>
      <x:c r="C306" s="1" t="str">
        <x:v>填空</x:v>
      </x:c>
      <x:c r="D306" s="1" t="str">
        <x:v>2007-一-08</x:v>
      </x:c>
    </x:row>
    <x:row r="307" ht="22" customHeight="1">
      <x:c r="A307" s="1" t="n">
        <x:v>2007</x:v>
      </x:c>
      <x:c r="B307" s="1" t="str">
        <x:v>O1</x:v>
      </x:c>
      <x:c r="C307" s="1" t="str">
        <x:v>填空</x:v>
      </x:c>
      <x:c r="D307" s="1" t="str">
        <x:v>2007-一-09</x:v>
      </x:c>
    </x:row>
    <x:row r="308" ht="22" customHeight="1">
      <x:c r="A308" s="1" t="n">
        <x:v>2007</x:v>
      </x:c>
      <x:c r="B308" s="1" t="str">
        <x:v>H3</x:v>
      </x:c>
      <x:c r="C308" s="1" t="str">
        <x:v>填空</x:v>
      </x:c>
      <x:c r="D308" s="1" t="str">
        <x:v>2007-一-10</x:v>
      </x:c>
    </x:row>
    <x:row r="309" ht="22" customHeight="1">
      <x:c r="A309" s="1" t="n">
        <x:v>2007</x:v>
      </x:c>
      <x:c r="B309" s="1" t="str">
        <x:v>A1</x:v>
      </x:c>
      <x:c r="C309" s="1" t="str">
        <x:v>填空</x:v>
      </x:c>
      <x:c r="D309" s="1" t="str">
        <x:v>2007-一-11</x:v>
      </x:c>
    </x:row>
    <x:row r="310" ht="22" customHeight="1">
      <x:c r="A310" s="1" t="n">
        <x:v>2007</x:v>
      </x:c>
      <x:c r="B310" s="1" t="str">
        <x:v>A5</x:v>
      </x:c>
      <x:c r="C310" s="1" t="str">
        <x:v>填空</x:v>
      </x:c>
      <x:c r="D310" s="1" t="str">
        <x:v>2007-一-12</x:v>
      </x:c>
    </x:row>
    <x:row r="311" ht="22" customHeight="1">
      <x:c r="A311" s="1" t="n">
        <x:v>2007</x:v>
      </x:c>
      <x:c r="B311" s="1" t="str">
        <x:v>A2</x:v>
      </x:c>
      <x:c r="C311" s="1" t="str">
        <x:v>填空</x:v>
      </x:c>
      <x:c r="D311" s="1" t="str">
        <x:v>2007-一-12</x:v>
      </x:c>
    </x:row>
    <x:row r="312" ht="22" customHeight="1">
      <x:c r="A312" s="1" t="n">
        <x:v>2007</x:v>
      </x:c>
      <x:c r="B312" s="1" t="str">
        <x:v>A5</x:v>
      </x:c>
      <x:c r="C312" s="1" t="str">
        <x:v>填空</x:v>
      </x:c>
      <x:c r="D312" s="1" t="str">
        <x:v>2007-一-13</x:v>
      </x:c>
    </x:row>
    <x:row r="313" ht="22" customHeight="1">
      <x:c r="A313" s="1" t="n">
        <x:v>2007</x:v>
      </x:c>
      <x:c r="B313" s="1" t="str">
        <x:v>A3</x:v>
      </x:c>
      <x:c r="C313" s="1" t="str">
        <x:v>填空</x:v>
      </x:c>
      <x:c r="D313" s="1" t="str">
        <x:v>2007-一-13</x:v>
      </x:c>
    </x:row>
    <x:row r="314" ht="22" customHeight="1">
      <x:c r="A314" s="1" t="n">
        <x:v>2007</x:v>
      </x:c>
      <x:c r="B314" s="1" t="str">
        <x:v>D1</x:v>
      </x:c>
      <x:c r="C314" s="1" t="str">
        <x:v>填空</x:v>
      </x:c>
      <x:c r="D314" s="1" t="str">
        <x:v>2007-一-14</x:v>
      </x:c>
    </x:row>
    <x:row r="315" ht="22" customHeight="1">
      <x:c r="A315" s="1" t="n">
        <x:v>2007</x:v>
      </x:c>
      <x:c r="B315" s="1" t="str">
        <x:v>D4</x:v>
      </x:c>
      <x:c r="C315" s="1" t="str">
        <x:v>填空</x:v>
      </x:c>
      <x:c r="D315" s="1" t="str">
        <x:v>2007-一-15</x:v>
      </x:c>
    </x:row>
    <x:row r="316" ht="22" customHeight="1">
      <x:c r="A316" s="1" t="n">
        <x:v>2007</x:v>
      </x:c>
      <x:c r="B316" s="1" t="str">
        <x:v>D2</x:v>
      </x:c>
      <x:c r="C316" s="1" t="str">
        <x:v>填空</x:v>
      </x:c>
      <x:c r="D316" s="1" t="str">
        <x:v>2007-一-15</x:v>
      </x:c>
    </x:row>
    <x:row r="317" ht="22" customHeight="1">
      <x:c r="A317" s="1" t="n">
        <x:v>2007</x:v>
      </x:c>
      <x:c r="B317" s="1" t="str">
        <x:v>D3</x:v>
      </x:c>
      <x:c r="C317" s="1" t="str">
        <x:v>填空</x:v>
      </x:c>
      <x:c r="D317" s="1" t="str">
        <x:v>2007-一-16</x:v>
      </x:c>
    </x:row>
    <x:row r="318" ht="22" customHeight="1">
      <x:c r="A318" s="1" t="n">
        <x:v>2007</x:v>
      </x:c>
      <x:c r="B318" s="1" t="str">
        <x:v>D1</x:v>
      </x:c>
      <x:c r="C318" s="1" t="str">
        <x:v>填空</x:v>
      </x:c>
      <x:c r="D318" s="1" t="str">
        <x:v>2007-一-16</x:v>
      </x:c>
    </x:row>
    <x:row r="319" ht="22" customHeight="1">
      <x:c r="A319" s="1" t="n">
        <x:v>2007</x:v>
      </x:c>
      <x:c r="B319" s="1" t="str">
        <x:v>X1</x:v>
      </x:c>
      <x:c r="C319" s="1" t="str">
        <x:v>填空</x:v>
      </x:c>
      <x:c r="D319" s="1" t="str">
        <x:v>2007-一-17</x:v>
      </x:c>
    </x:row>
    <x:row r="320" ht="22" customHeight="1">
      <x:c r="A320" s="1" t="n">
        <x:v>2007</x:v>
      </x:c>
      <x:c r="B320" s="1" t="str">
        <x:v>T1</x:v>
      </x:c>
      <x:c r="C320" s="1" t="str">
        <x:v>填空</x:v>
      </x:c>
      <x:c r="D320" s="1" t="str">
        <x:v>2007-一-18</x:v>
      </x:c>
    </x:row>
    <x:row r="321" ht="22" customHeight="1">
      <x:c r="A321" s="1" t="n">
        <x:v>2007</x:v>
      </x:c>
      <x:c r="B321" s="1" t="str">
        <x:v>P1</x:v>
      </x:c>
      <x:c r="C321" s="1" t="str">
        <x:v>计算</x:v>
      </x:c>
      <x:c r="D321" s="1" t="str">
        <x:v>2007-二</x:v>
      </x:c>
    </x:row>
    <x:row r="322" ht="22" customHeight="1">
      <x:c r="A322" s="1" t="n">
        <x:v>2007</x:v>
      </x:c>
      <x:c r="B322" s="1" t="str">
        <x:v>F2</x:v>
      </x:c>
      <x:c r="C322" s="1" t="str">
        <x:v>计算</x:v>
      </x:c>
      <x:c r="D322" s="1" t="str">
        <x:v>2007-二</x:v>
      </x:c>
    </x:row>
    <x:row r="323" ht="22" customHeight="1">
      <x:c r="A323" s="1" t="n">
        <x:v>2007</x:v>
      </x:c>
      <x:c r="B323" s="1" t="str">
        <x:v>S4</x:v>
      </x:c>
      <x:c r="C323" s="1" t="str">
        <x:v>计算</x:v>
      </x:c>
      <x:c r="D323" s="1" t="str">
        <x:v>2007-三</x:v>
      </x:c>
    </x:row>
    <x:row r="324" ht="22" customHeight="1">
      <x:c r="A324" s="1" t="n">
        <x:v>2007</x:v>
      </x:c>
      <x:c r="B324" s="1" t="str">
        <x:v>S3</x:v>
      </x:c>
      <x:c r="C324" s="1" t="str">
        <x:v>计算</x:v>
      </x:c>
      <x:c r="D324" s="1" t="str">
        <x:v>2007-三</x:v>
      </x:c>
    </x:row>
    <x:row r="325" ht="22" customHeight="1">
      <x:c r="A325" s="1" t="n">
        <x:v>2007</x:v>
      </x:c>
      <x:c r="B325" s="1" t="str">
        <x:v>H4</x:v>
      </x:c>
      <x:c r="C325" s="1" t="str">
        <x:v>计算</x:v>
      </x:c>
      <x:c r="D325" s="1" t="str">
        <x:v>2007-四</x:v>
      </x:c>
    </x:row>
    <x:row r="326" ht="22" customHeight="1">
      <x:c r="A326" s="1" t="n">
        <x:v>2007</x:v>
      </x:c>
      <x:c r="B326" s="1" t="str">
        <x:v>H2</x:v>
      </x:c>
      <x:c r="C326" s="1" t="str">
        <x:v>计算</x:v>
      </x:c>
      <x:c r="D326" s="1" t="str">
        <x:v>2007-四</x:v>
      </x:c>
    </x:row>
    <x:row r="327" ht="22" customHeight="1">
      <x:c r="A327" s="1" t="n">
        <x:v>2007</x:v>
      </x:c>
      <x:c r="B327" s="1" t="str">
        <x:v>H3</x:v>
      </x:c>
      <x:c r="C327" s="1" t="str">
        <x:v>计算</x:v>
      </x:c>
      <x:c r="D327" s="1" t="str">
        <x:v>2007-四</x:v>
      </x:c>
    </x:row>
    <x:row r="328" ht="22" customHeight="1">
      <x:c r="A328" s="1" t="n">
        <x:v>2007</x:v>
      </x:c>
      <x:c r="B328" s="1" t="str">
        <x:v>A4</x:v>
      </x:c>
      <x:c r="C328" s="1" t="str">
        <x:v>计算</x:v>
      </x:c>
      <x:c r="D328" s="1" t="str">
        <x:v>2007-五</x:v>
      </x:c>
    </x:row>
    <x:row r="329" ht="22" customHeight="1">
      <x:c r="A329" s="1" t="n">
        <x:v>2007</x:v>
      </x:c>
      <x:c r="B329" s="1" t="str">
        <x:v>A3</x:v>
      </x:c>
      <x:c r="C329" s="1" t="str">
        <x:v>计算</x:v>
      </x:c>
      <x:c r="D329" s="1" t="str">
        <x:v>2007-五</x:v>
      </x:c>
    </x:row>
    <x:row r="330" ht="22" customHeight="1">
      <x:c r="A330" s="1" t="n">
        <x:v>2007</x:v>
      </x:c>
      <x:c r="B330" s="1" t="str">
        <x:v>A5</x:v>
      </x:c>
      <x:c r="C330" s="1" t="str">
        <x:v>计算</x:v>
      </x:c>
      <x:c r="D330" s="1" t="str">
        <x:v>2007-五</x:v>
      </x:c>
    </x:row>
    <x:row r="331" ht="22" customHeight="1">
      <x:c r="A331" s="1" t="n">
        <x:v>2007</x:v>
      </x:c>
      <x:c r="B331" s="1" t="str">
        <x:v>A2</x:v>
      </x:c>
      <x:c r="C331" s="1" t="str">
        <x:v>计算</x:v>
      </x:c>
      <x:c r="D331" s="1" t="str">
        <x:v>2007-五</x:v>
      </x:c>
    </x:row>
    <x:row r="332" ht="22" customHeight="1">
      <x:c r="A332" s="1" t="n">
        <x:v>2007</x:v>
      </x:c>
      <x:c r="B332" s="1" t="str">
        <x:v>D2</x:v>
      </x:c>
      <x:c r="C332" s="1" t="str">
        <x:v>计算</x:v>
      </x:c>
      <x:c r="D332" s="1" t="str">
        <x:v>2007-六</x:v>
      </x:c>
    </x:row>
    <x:row r="333" ht="22" customHeight="1">
      <x:c r="A333" s="1" t="n">
        <x:v>2007</x:v>
      </x:c>
      <x:c r="B333" s="1" t="str">
        <x:v>D4</x:v>
      </x:c>
      <x:c r="C333" s="1" t="str">
        <x:v>计算</x:v>
      </x:c>
      <x:c r="D333" s="1" t="str">
        <x:v>2007-六</x:v>
      </x:c>
    </x:row>
    <x:row r="334" ht="22" customHeight="1">
      <x:c r="A334" s="1" t="n">
        <x:v>2007</x:v>
      </x:c>
      <x:c r="B334" s="1" t="str">
        <x:v>D3</x:v>
      </x:c>
      <x:c r="C334" s="1" t="str">
        <x:v>计算</x:v>
      </x:c>
      <x:c r="D334" s="1" t="str">
        <x:v>2007-六</x:v>
      </x:c>
    </x:row>
    <x:row r="335" ht="22" customHeight="1">
      <x:c r="A335" s="1" t="n">
        <x:v>2008</x:v>
      </x:c>
      <x:c r="B335" s="1" t="str">
        <x:v>F2</x:v>
      </x:c>
      <x:c r="C335" s="1" t="str">
        <x:v>填空</x:v>
      </x:c>
      <x:c r="D335" s="1" t="str">
        <x:v>2008-一-01</x:v>
      </x:c>
    </x:row>
    <x:row r="336" ht="22" customHeight="1">
      <x:c r="A336" s="1" t="n">
        <x:v>2008</x:v>
      </x:c>
      <x:c r="B336" s="1" t="str">
        <x:v>F3</x:v>
      </x:c>
      <x:c r="C336" s="1" t="str">
        <x:v>填空</x:v>
      </x:c>
      <x:c r="D336" s="1" t="str">
        <x:v>2008-一-01</x:v>
      </x:c>
    </x:row>
    <x:row r="337" ht="22" customHeight="1">
      <x:c r="A337" s="1" t="n">
        <x:v>2008</x:v>
      </x:c>
      <x:c r="B337" s="1" t="str">
        <x:v>F2</x:v>
      </x:c>
      <x:c r="C337" s="1" t="str">
        <x:v>填空</x:v>
      </x:c>
      <x:c r="D337" s="1" t="str">
        <x:v>2008-一-02</x:v>
      </x:c>
    </x:row>
    <x:row r="338" ht="22" customHeight="1">
      <x:c r="A338" s="1" t="n">
        <x:v>2008</x:v>
      </x:c>
      <x:c r="B338" s="1" t="str">
        <x:v>F1</x:v>
      </x:c>
      <x:c r="C338" s="1" t="str">
        <x:v>填空</x:v>
      </x:c>
      <x:c r="D338" s="1" t="str">
        <x:v>2008-一-02</x:v>
      </x:c>
    </x:row>
    <x:row r="339" ht="22" customHeight="1">
      <x:c r="A339" s="1" t="n">
        <x:v>2008</x:v>
      </x:c>
      <x:c r="B339" s="1" t="str">
        <x:v>F5</x:v>
      </x:c>
      <x:c r="C339" s="1" t="str">
        <x:v>填空</x:v>
      </x:c>
      <x:c r="D339" s="1" t="str">
        <x:v>2008-一-03</x:v>
      </x:c>
    </x:row>
    <x:row r="340" ht="22" customHeight="1">
      <x:c r="A340" s="1" t="n">
        <x:v>2008</x:v>
      </x:c>
      <x:c r="B340" s="1" t="str">
        <x:v>P1</x:v>
      </x:c>
      <x:c r="C340" s="1" t="str">
        <x:v>填空</x:v>
      </x:c>
      <x:c r="D340" s="1" t="str">
        <x:v>2008-一-04</x:v>
      </x:c>
    </x:row>
    <x:row r="341" ht="22" customHeight="1">
      <x:c r="A341" s="1" t="n">
        <x:v>2008</x:v>
      </x:c>
      <x:c r="B341" s="1" t="str">
        <x:v>P1</x:v>
      </x:c>
      <x:c r="C341" s="1" t="str">
        <x:v>填空</x:v>
      </x:c>
      <x:c r="D341" s="1" t="str">
        <x:v>2008-一-05</x:v>
      </x:c>
    </x:row>
    <x:row r="342" ht="22" customHeight="1">
      <x:c r="A342" s="1" t="n">
        <x:v>2008</x:v>
      </x:c>
      <x:c r="B342" s="1" t="str">
        <x:v>S1</x:v>
      </x:c>
      <x:c r="C342" s="1" t="str">
        <x:v>填空</x:v>
      </x:c>
      <x:c r="D342" s="1" t="str">
        <x:v>2008-一-06</x:v>
      </x:c>
    </x:row>
    <x:row r="343" ht="22" customHeight="1">
      <x:c r="A343" s="1" t="n">
        <x:v>2008</x:v>
      </x:c>
      <x:c r="B343" s="1" t="str">
        <x:v>S3</x:v>
      </x:c>
      <x:c r="C343" s="1" t="str">
        <x:v>填空</x:v>
      </x:c>
      <x:c r="D343" s="1" t="str">
        <x:v>2008-一-07</x:v>
      </x:c>
    </x:row>
    <x:row r="344" ht="22" customHeight="1">
      <x:c r="A344" s="1" t="n">
        <x:v>2008</x:v>
      </x:c>
      <x:c r="B344" s="1" t="str">
        <x:v>S1</x:v>
      </x:c>
      <x:c r="C344" s="1" t="str">
        <x:v>填空</x:v>
      </x:c>
      <x:c r="D344" s="1" t="str">
        <x:v>2008-一-08</x:v>
      </x:c>
    </x:row>
    <x:row r="345" ht="22" customHeight="1">
      <x:c r="A345" s="1" t="n">
        <x:v>2008</x:v>
      </x:c>
      <x:c r="B345" s="1" t="str">
        <x:v>B1</x:v>
      </x:c>
      <x:c r="C345" s="1" t="str">
        <x:v>填空</x:v>
      </x:c>
      <x:c r="D345" s="1" t="str">
        <x:v>2008-一-09</x:v>
      </x:c>
    </x:row>
    <x:row r="346" ht="22" customHeight="1">
      <x:c r="A346" s="1" t="n">
        <x:v>2008</x:v>
      </x:c>
      <x:c r="B346" s="1" t="str">
        <x:v>S2</x:v>
      </x:c>
      <x:c r="C346" s="1" t="str">
        <x:v>填空</x:v>
      </x:c>
      <x:c r="D346" s="1" t="str">
        <x:v>2008-一-10</x:v>
      </x:c>
    </x:row>
    <x:row r="347" ht="22" customHeight="1">
      <x:c r="A347" s="1" t="n">
        <x:v>2008</x:v>
      </x:c>
      <x:c r="B347" s="1" t="str">
        <x:v>O1</x:v>
      </x:c>
      <x:c r="C347" s="1" t="str">
        <x:v>填空</x:v>
      </x:c>
      <x:c r="D347" s="1" t="str">
        <x:v>2008-一-11</x:v>
      </x:c>
    </x:row>
    <x:row r="348" ht="22" customHeight="1">
      <x:c r="A348" s="1" t="n">
        <x:v>2008</x:v>
      </x:c>
      <x:c r="B348" s="1" t="str">
        <x:v>H3</x:v>
      </x:c>
      <x:c r="C348" s="1" t="str">
        <x:v>填空</x:v>
      </x:c>
      <x:c r="D348" s="1" t="str">
        <x:v>2008-一-12</x:v>
      </x:c>
    </x:row>
    <x:row r="349" ht="22" customHeight="1">
      <x:c r="A349" s="1" t="n">
        <x:v>2008</x:v>
      </x:c>
      <x:c r="B349" s="1" t="str">
        <x:v>H5</x:v>
      </x:c>
      <x:c r="C349" s="1" t="str">
        <x:v>填空</x:v>
      </x:c>
      <x:c r="D349" s="1" t="str">
        <x:v>2008-一-13</x:v>
      </x:c>
    </x:row>
    <x:row r="350" ht="22" customHeight="1">
      <x:c r="A350" s="1" t="n">
        <x:v>2008</x:v>
      </x:c>
      <x:c r="B350" s="1" t="str">
        <x:v>M1</x:v>
      </x:c>
      <x:c r="C350" s="1" t="str">
        <x:v>填空</x:v>
      </x:c>
      <x:c r="D350" s="1" t="str">
        <x:v>2008-一-14</x:v>
      </x:c>
    </x:row>
    <x:row r="351" ht="22" customHeight="1">
      <x:c r="A351" s="1" t="n">
        <x:v>2008</x:v>
      </x:c>
      <x:c r="B351" s="1" t="str">
        <x:v>A5</x:v>
      </x:c>
      <x:c r="C351" s="1" t="str">
        <x:v>填空</x:v>
      </x:c>
      <x:c r="D351" s="1" t="str">
        <x:v>2008-一-15</x:v>
      </x:c>
    </x:row>
    <x:row r="352" ht="22" customHeight="1">
      <x:c r="A352" s="1" t="n">
        <x:v>2008</x:v>
      </x:c>
      <x:c r="B352" s="1" t="str">
        <x:v>A3</x:v>
      </x:c>
      <x:c r="C352" s="1" t="str">
        <x:v>填空</x:v>
      </x:c>
      <x:c r="D352" s="1" t="str">
        <x:v>2008-一-15</x:v>
      </x:c>
    </x:row>
    <x:row r="353" ht="22" customHeight="1">
      <x:c r="A353" s="1" t="n">
        <x:v>2008</x:v>
      </x:c>
      <x:c r="B353" s="1" t="str">
        <x:v>A1</x:v>
      </x:c>
      <x:c r="C353" s="1" t="str">
        <x:v>填空</x:v>
      </x:c>
      <x:c r="D353" s="1" t="str">
        <x:v>2008-一-16</x:v>
      </x:c>
    </x:row>
    <x:row r="354" ht="22" customHeight="1">
      <x:c r="A354" s="1" t="n">
        <x:v>2008</x:v>
      </x:c>
      <x:c r="B354" s="1" t="str">
        <x:v>D3</x:v>
      </x:c>
      <x:c r="C354" s="1" t="str">
        <x:v>填空</x:v>
      </x:c>
      <x:c r="D354" s="1" t="str">
        <x:v>2008-一-17</x:v>
      </x:c>
    </x:row>
    <x:row r="355" ht="22" customHeight="1">
      <x:c r="A355" s="1" t="n">
        <x:v>2008</x:v>
      </x:c>
      <x:c r="B355" s="1" t="str">
        <x:v>D2</x:v>
      </x:c>
      <x:c r="C355" s="1" t="str">
        <x:v>填空</x:v>
      </x:c>
      <x:c r="D355" s="1" t="str">
        <x:v>2008-一-17</x:v>
      </x:c>
    </x:row>
    <x:row r="356" ht="22" customHeight="1">
      <x:c r="A356" s="1" t="n">
        <x:v>2008</x:v>
      </x:c>
      <x:c r="B356" s="1" t="str">
        <x:v>D1</x:v>
      </x:c>
      <x:c r="C356" s="1" t="str">
        <x:v>填空</x:v>
      </x:c>
      <x:c r="D356" s="1" t="str">
        <x:v>2008-一-17</x:v>
      </x:c>
    </x:row>
    <x:row r="357" ht="22" customHeight="1">
      <x:c r="A357" s="1" t="n">
        <x:v>2008</x:v>
      </x:c>
      <x:c r="B357" s="1" t="str">
        <x:v>D4</x:v>
      </x:c>
      <x:c r="C357" s="1" t="str">
        <x:v>填空</x:v>
      </x:c>
      <x:c r="D357" s="1" t="str">
        <x:v>2008-一-18</x:v>
      </x:c>
    </x:row>
    <x:row r="358" ht="22" customHeight="1">
      <x:c r="A358" s="1" t="n">
        <x:v>2008</x:v>
      </x:c>
      <x:c r="B358" s="1" t="str">
        <x:v>D3</x:v>
      </x:c>
      <x:c r="C358" s="1" t="str">
        <x:v>填空</x:v>
      </x:c>
      <x:c r="D358" s="1" t="str">
        <x:v>2008-一-18</x:v>
      </x:c>
    </x:row>
    <x:row r="359" ht="22" customHeight="1">
      <x:c r="A359" s="1" t="n">
        <x:v>2008</x:v>
      </x:c>
      <x:c r="B359" s="1" t="str">
        <x:v>D4</x:v>
      </x:c>
      <x:c r="C359" s="1" t="str">
        <x:v>填空</x:v>
      </x:c>
      <x:c r="D359" s="1" t="str">
        <x:v>2008-一-19</x:v>
      </x:c>
    </x:row>
    <x:row r="360" ht="22" customHeight="1">
      <x:c r="A360" s="1" t="n">
        <x:v>2008</x:v>
      </x:c>
      <x:c r="B360" s="1" t="str">
        <x:v>X1</x:v>
      </x:c>
      <x:c r="C360" s="1" t="str">
        <x:v>填空</x:v>
      </x:c>
      <x:c r="D360" s="1" t="str">
        <x:v>2008-一-20</x:v>
      </x:c>
    </x:row>
    <x:row r="361" ht="22" customHeight="1">
      <x:c r="A361" s="1" t="n">
        <x:v>2008</x:v>
      </x:c>
      <x:c r="B361" s="1" t="str">
        <x:v>T1</x:v>
      </x:c>
      <x:c r="C361" s="1" t="str">
        <x:v>填空</x:v>
      </x:c>
      <x:c r="D361" s="1" t="str">
        <x:v>2008-一-21</x:v>
      </x:c>
    </x:row>
    <x:row r="362" ht="22" customHeight="1">
      <x:c r="A362" s="1" t="n">
        <x:v>2008</x:v>
      </x:c>
      <x:c r="B362" s="1" t="str">
        <x:v>F2</x:v>
      </x:c>
      <x:c r="C362" s="1" t="str">
        <x:v>计算</x:v>
      </x:c>
      <x:c r="D362" s="1" t="str">
        <x:v>2008-二</x:v>
      </x:c>
    </x:row>
    <x:row r="363" ht="22" customHeight="1">
      <x:c r="A363" s="1" t="n">
        <x:v>2008</x:v>
      </x:c>
      <x:c r="B363" s="1" t="str">
        <x:v>F3</x:v>
      </x:c>
      <x:c r="C363" s="1" t="str">
        <x:v>计算</x:v>
      </x:c>
      <x:c r="D363" s="1" t="str">
        <x:v>2008-二</x:v>
      </x:c>
    </x:row>
    <x:row r="364" ht="22" customHeight="1">
      <x:c r="A364" s="1" t="n">
        <x:v>2008</x:v>
      </x:c>
      <x:c r="B364" s="1" t="str">
        <x:v>S4</x:v>
      </x:c>
      <x:c r="C364" s="1" t="str">
        <x:v>计算</x:v>
      </x:c>
      <x:c r="D364" s="1" t="str">
        <x:v>2008-三</x:v>
      </x:c>
    </x:row>
    <x:row r="365" ht="22" customHeight="1">
      <x:c r="A365" s="1" t="n">
        <x:v>2008</x:v>
      </x:c>
      <x:c r="B365" s="1" t="str">
        <x:v>S3</x:v>
      </x:c>
      <x:c r="C365" s="1" t="str">
        <x:v>计算</x:v>
      </x:c>
      <x:c r="D365" s="1" t="str">
        <x:v>2008-三</x:v>
      </x:c>
    </x:row>
    <x:row r="366" ht="22" customHeight="1">
      <x:c r="A366" s="1" t="n">
        <x:v>2008</x:v>
      </x:c>
      <x:c r="B366" s="1" t="str">
        <x:v>H4</x:v>
      </x:c>
      <x:c r="C366" s="1" t="str">
        <x:v>计算</x:v>
      </x:c>
      <x:c r="D366" s="1" t="str">
        <x:v>2008-四</x:v>
      </x:c>
    </x:row>
    <x:row r="367" ht="22" customHeight="1">
      <x:c r="A367" s="1" t="n">
        <x:v>2008</x:v>
      </x:c>
      <x:c r="B367" s="1" t="str">
        <x:v>H2</x:v>
      </x:c>
      <x:c r="C367" s="1" t="str">
        <x:v>计算</x:v>
      </x:c>
      <x:c r="D367" s="1" t="str">
        <x:v>2008-四</x:v>
      </x:c>
    </x:row>
    <x:row r="368" ht="22" customHeight="1">
      <x:c r="A368" s="1" t="n">
        <x:v>2008</x:v>
      </x:c>
      <x:c r="B368" s="1" t="str">
        <x:v>H3</x:v>
      </x:c>
      <x:c r="C368" s="1" t="str">
        <x:v>计算</x:v>
      </x:c>
      <x:c r="D368" s="1" t="str">
        <x:v>2008-四</x:v>
      </x:c>
    </x:row>
    <x:row r="369" ht="22" customHeight="1">
      <x:c r="A369" s="1" t="n">
        <x:v>2008</x:v>
      </x:c>
      <x:c r="B369" s="1" t="str">
        <x:v>H5</x:v>
      </x:c>
      <x:c r="C369" s="1" t="str">
        <x:v>计算</x:v>
      </x:c>
      <x:c r="D369" s="1" t="str">
        <x:v>2008-四</x:v>
      </x:c>
    </x:row>
    <x:row r="370" ht="22" customHeight="1">
      <x:c r="A370" s="1" t="n">
        <x:v>2008</x:v>
      </x:c>
      <x:c r="B370" s="1" t="str">
        <x:v>A3</x:v>
      </x:c>
      <x:c r="C370" s="1" t="str">
        <x:v>计算</x:v>
      </x:c>
      <x:c r="D370" s="1" t="str">
        <x:v>2008-五</x:v>
      </x:c>
    </x:row>
    <x:row r="371" ht="22" customHeight="1">
      <x:c r="A371" s="1" t="n">
        <x:v>2008</x:v>
      </x:c>
      <x:c r="B371" s="1" t="str">
        <x:v>A4</x:v>
      </x:c>
      <x:c r="C371" s="1" t="str">
        <x:v>计算</x:v>
      </x:c>
      <x:c r="D371" s="1" t="str">
        <x:v>2008-五</x:v>
      </x:c>
    </x:row>
    <x:row r="372" ht="22" customHeight="1">
      <x:c r="A372" s="1" t="n">
        <x:v>2008</x:v>
      </x:c>
      <x:c r="B372" s="1" t="str">
        <x:v>A1</x:v>
      </x:c>
      <x:c r="C372" s="1" t="str">
        <x:v>计算</x:v>
      </x:c>
      <x:c r="D372" s="1" t="str">
        <x:v>2008-五</x:v>
      </x:c>
    </x:row>
    <x:row r="373" ht="22" customHeight="1">
      <x:c r="A373" s="1" t="n">
        <x:v>2008</x:v>
      </x:c>
      <x:c r="B373" s="1" t="str">
        <x:v>D2</x:v>
      </x:c>
      <x:c r="C373" s="1" t="str">
        <x:v>计算</x:v>
      </x:c>
      <x:c r="D373" s="1" t="str">
        <x:v>2008-六</x:v>
      </x:c>
    </x:row>
    <x:row r="374" ht="22" customHeight="1">
      <x:c r="A374" s="1" t="n">
        <x:v>2008</x:v>
      </x:c>
      <x:c r="B374" s="1" t="str">
        <x:v>D3</x:v>
      </x:c>
      <x:c r="C374" s="1" t="str">
        <x:v>计算</x:v>
      </x:c>
      <x:c r="D374" s="1" t="str">
        <x:v>2008-六</x:v>
      </x:c>
    </x:row>
    <x:row r="375" ht="22" customHeight="1">
      <x:c r="A375" s="1" t="n">
        <x:v>2008</x:v>
      </x:c>
      <x:c r="B375" s="1" t="str">
        <x:v>D1</x:v>
      </x:c>
      <x:c r="C375" s="1" t="str">
        <x:v>计算</x:v>
      </x:c>
      <x:c r="D375" s="1" t="str">
        <x:v>2008-六</x:v>
      </x:c>
    </x:row>
    <x:row r="376" ht="22" customHeight="1">
      <x:c r="A376" s="1" t="n">
        <x:v>2009</x:v>
      </x:c>
      <x:c r="B376" s="1" t="str">
        <x:v>F3</x:v>
      </x:c>
      <x:c r="C376" s="1" t="str">
        <x:v>填空</x:v>
      </x:c>
      <x:c r="D376" s="1" t="str">
        <x:v>2009-一-01</x:v>
      </x:c>
    </x:row>
    <x:row r="377" ht="22" customHeight="1">
      <x:c r="A377" s="1" t="n">
        <x:v>2009</x:v>
      </x:c>
      <x:c r="B377" s="1" t="str">
        <x:v>O3</x:v>
      </x:c>
      <x:c r="C377" s="1" t="str">
        <x:v>填空</x:v>
      </x:c>
      <x:c r="D377" s="1" t="str">
        <x:v>2009-一-02</x:v>
      </x:c>
    </x:row>
    <x:row r="378" ht="22" customHeight="1">
      <x:c r="A378" s="1" t="n">
        <x:v>2009</x:v>
      </x:c>
      <x:c r="B378" s="1" t="str">
        <x:v>S1</x:v>
      </x:c>
      <x:c r="C378" s="1" t="str">
        <x:v>填空</x:v>
      </x:c>
      <x:c r="D378" s="1" t="str">
        <x:v>2009-一-03</x:v>
      </x:c>
    </x:row>
    <x:row r="379" ht="22" customHeight="1">
      <x:c r="A379" s="1" t="n">
        <x:v>2009</x:v>
      </x:c>
      <x:c r="B379" s="1" t="str">
        <x:v>H1</x:v>
      </x:c>
      <x:c r="C379" s="1" t="str">
        <x:v>填空</x:v>
      </x:c>
      <x:c r="D379" s="1" t="str">
        <x:v>2009-一-04</x:v>
      </x:c>
    </x:row>
    <x:row r="380" ht="22" customHeight="1">
      <x:c r="A380" s="1" t="n">
        <x:v>2009</x:v>
      </x:c>
      <x:c r="B380" s="1" t="str">
        <x:v>H6</x:v>
      </x:c>
      <x:c r="C380" s="1" t="str">
        <x:v>填空</x:v>
      </x:c>
      <x:c r="D380" s="1" t="str">
        <x:v>2009-一-05</x:v>
      </x:c>
    </x:row>
    <x:row r="381" ht="22" customHeight="1">
      <x:c r="A381" s="1" t="n">
        <x:v>2009</x:v>
      </x:c>
      <x:c r="B381" s="1" t="str">
        <x:v>O1</x:v>
      </x:c>
      <x:c r="C381" s="1" t="str">
        <x:v>填空</x:v>
      </x:c>
      <x:c r="D381" s="1" t="str">
        <x:v>2009-一-06</x:v>
      </x:c>
    </x:row>
    <x:row r="382" ht="22" customHeight="1">
      <x:c r="A382" s="1" t="n">
        <x:v>2009</x:v>
      </x:c>
      <x:c r="B382" s="1" t="str">
        <x:v>D4</x:v>
      </x:c>
      <x:c r="C382" s="1" t="str">
        <x:v>填空</x:v>
      </x:c>
      <x:c r="D382" s="1" t="str">
        <x:v>2009-一-07</x:v>
      </x:c>
    </x:row>
    <x:row r="383" ht="22" customHeight="1">
      <x:c r="A383" s="1" t="n">
        <x:v>2009</x:v>
      </x:c>
      <x:c r="B383" s="1" t="str">
        <x:v>D2</x:v>
      </x:c>
      <x:c r="C383" s="1" t="str">
        <x:v>填空</x:v>
      </x:c>
      <x:c r="D383" s="1" t="str">
        <x:v>2009-一-07</x:v>
      </x:c>
    </x:row>
    <x:row r="384" ht="22" customHeight="1">
      <x:c r="A384" s="1" t="n">
        <x:v>2009</x:v>
      </x:c>
      <x:c r="B384" s="1" t="str">
        <x:v>A2</x:v>
      </x:c>
      <x:c r="C384" s="1" t="str">
        <x:v>填空</x:v>
      </x:c>
      <x:c r="D384" s="1" t="str">
        <x:v>2009-一-08</x:v>
      </x:c>
    </x:row>
    <x:row r="385" ht="22" customHeight="1">
      <x:c r="A385" s="1" t="n">
        <x:v>2009</x:v>
      </x:c>
      <x:c r="B385" s="1" t="str">
        <x:v>X1</x:v>
      </x:c>
      <x:c r="C385" s="1" t="str">
        <x:v>填空</x:v>
      </x:c>
      <x:c r="D385" s="1" t="str">
        <x:v>2009-一-09</x:v>
      </x:c>
    </x:row>
    <x:row r="386" ht="22" customHeight="1">
      <x:c r="A386" s="1" t="n">
        <x:v>2009</x:v>
      </x:c>
      <x:c r="B386" s="1" t="str">
        <x:v>F3</x:v>
      </x:c>
      <x:c r="C386" s="1" t="str">
        <x:v>判断</x:v>
      </x:c>
      <x:c r="D386" s="1" t="str">
        <x:v>2009-二-01</x:v>
      </x:c>
    </x:row>
    <x:row r="387" ht="22" customHeight="1">
      <x:c r="A387" s="1" t="n">
        <x:v>2009</x:v>
      </x:c>
      <x:c r="B387" s="1" t="str">
        <x:v>S1</x:v>
      </x:c>
      <x:c r="C387" s="1" t="str">
        <x:v>判断</x:v>
      </x:c>
      <x:c r="D387" s="1" t="str">
        <x:v>2009-二-02</x:v>
      </x:c>
    </x:row>
    <x:row r="388" ht="22" customHeight="1">
      <x:c r="A388" s="1" t="n">
        <x:v>2009</x:v>
      </x:c>
      <x:c r="B388" s="1" t="str">
        <x:v>S4</x:v>
      </x:c>
      <x:c r="C388" s="1" t="str">
        <x:v>判断</x:v>
      </x:c>
      <x:c r="D388" s="1" t="str">
        <x:v>2009-二-03</x:v>
      </x:c>
    </x:row>
    <x:row r="389" ht="22" customHeight="1">
      <x:c r="A389" s="1" t="n">
        <x:v>2009</x:v>
      </x:c>
      <x:c r="B389" s="1" t="str">
        <x:v>H1</x:v>
      </x:c>
      <x:c r="C389" s="1" t="str">
        <x:v>判断</x:v>
      </x:c>
      <x:c r="D389" s="1" t="str">
        <x:v>2009-二-04</x:v>
      </x:c>
    </x:row>
    <x:row r="390" ht="22" customHeight="1">
      <x:c r="A390" s="1" t="n">
        <x:v>2009</x:v>
      </x:c>
      <x:c r="B390" s="1" t="str">
        <x:v>O1</x:v>
      </x:c>
      <x:c r="C390" s="1" t="str">
        <x:v>判断</x:v>
      </x:c>
      <x:c r="D390" s="1" t="str">
        <x:v>2009-二-05</x:v>
      </x:c>
    </x:row>
    <x:row r="391" ht="22" customHeight="1">
      <x:c r="A391" s="1" t="n">
        <x:v>2009</x:v>
      </x:c>
      <x:c r="B391" s="1" t="str">
        <x:v>O3</x:v>
      </x:c>
      <x:c r="C391" s="1" t="str">
        <x:v>简答</x:v>
      </x:c>
      <x:c r="D391" s="1" t="str">
        <x:v>2009-三-01</x:v>
      </x:c>
    </x:row>
    <x:row r="392" ht="22" customHeight="1">
      <x:c r="A392" s="1" t="n">
        <x:v>2009</x:v>
      </x:c>
      <x:c r="B392" s="1" t="str">
        <x:v>H1</x:v>
      </x:c>
      <x:c r="C392" s="1" t="str">
        <x:v>简答</x:v>
      </x:c>
      <x:c r="D392" s="1" t="str">
        <x:v>2009-三-02</x:v>
      </x:c>
    </x:row>
    <x:row r="393" ht="22" customHeight="1">
      <x:c r="A393" s="1" t="n">
        <x:v>2009</x:v>
      </x:c>
      <x:c r="B393" s="1" t="str">
        <x:v>X1</x:v>
      </x:c>
      <x:c r="C393" s="1" t="str">
        <x:v>简答</x:v>
      </x:c>
      <x:c r="D393" s="1" t="str">
        <x:v>2009-三-03</x:v>
      </x:c>
    </x:row>
    <x:row r="394" ht="22" customHeight="1">
      <x:c r="A394" s="1" t="n">
        <x:v>2009</x:v>
      </x:c>
      <x:c r="B394" s="1" t="str">
        <x:v>T1</x:v>
      </x:c>
      <x:c r="C394" s="1" t="str">
        <x:v>简答</x:v>
      </x:c>
      <x:c r="D394" s="1" t="str">
        <x:v>2009-三-04</x:v>
      </x:c>
    </x:row>
    <x:row r="395" ht="22" customHeight="1">
      <x:c r="A395" s="1" t="n">
        <x:v>2009</x:v>
      </x:c>
      <x:c r="B395" s="1" t="str">
        <x:v>P1</x:v>
      </x:c>
      <x:c r="C395" s="1" t="str">
        <x:v>计算</x:v>
      </x:c>
      <x:c r="D395" s="1" t="str">
        <x:v>2009-四-01</x:v>
      </x:c>
    </x:row>
    <x:row r="396" ht="22" customHeight="1">
      <x:c r="A396" s="1" t="n">
        <x:v>2009</x:v>
      </x:c>
      <x:c r="B396" s="1" t="str">
        <x:v>F2</x:v>
      </x:c>
      <x:c r="C396" s="1" t="str">
        <x:v>计算</x:v>
      </x:c>
      <x:c r="D396" s="1" t="str">
        <x:v>2009-四-01</x:v>
      </x:c>
    </x:row>
    <x:row r="397" ht="22" customHeight="1">
      <x:c r="A397" s="1" t="n">
        <x:v>2009</x:v>
      </x:c>
      <x:c r="B397" s="1" t="str">
        <x:v>F3</x:v>
      </x:c>
      <x:c r="C397" s="1" t="str">
        <x:v>计算</x:v>
      </x:c>
      <x:c r="D397" s="1" t="str">
        <x:v>2009-四-01</x:v>
      </x:c>
    </x:row>
    <x:row r="398" ht="22" customHeight="1">
      <x:c r="A398" s="1" t="n">
        <x:v>2009</x:v>
      </x:c>
      <x:c r="B398" s="1" t="str">
        <x:v>F1</x:v>
      </x:c>
      <x:c r="C398" s="1" t="str">
        <x:v>计算</x:v>
      </x:c>
      <x:c r="D398" s="1" t="str">
        <x:v>2009-四-01</x:v>
      </x:c>
    </x:row>
    <x:row r="399" ht="22" customHeight="1">
      <x:c r="A399" s="1" t="n">
        <x:v>2009</x:v>
      </x:c>
      <x:c r="B399" s="1" t="str">
        <x:v>S4</x:v>
      </x:c>
      <x:c r="C399" s="1" t="str">
        <x:v>计算</x:v>
      </x:c>
      <x:c r="D399" s="1" t="str">
        <x:v>2009-四-02</x:v>
      </x:c>
    </x:row>
    <x:row r="400" ht="22" customHeight="1">
      <x:c r="A400" s="1" t="n">
        <x:v>2009</x:v>
      </x:c>
      <x:c r="B400" s="1" t="str">
        <x:v>S3</x:v>
      </x:c>
      <x:c r="C400" s="1" t="str">
        <x:v>计算</x:v>
      </x:c>
      <x:c r="D400" s="1" t="str">
        <x:v>2009-四-02</x:v>
      </x:c>
    </x:row>
    <x:row r="401" ht="22" customHeight="1">
      <x:c r="A401" s="1" t="n">
        <x:v>2009</x:v>
      </x:c>
      <x:c r="B401" s="1" t="str">
        <x:v>H4</x:v>
      </x:c>
      <x:c r="C401" s="1" t="str">
        <x:v>计算</x:v>
      </x:c>
      <x:c r="D401" s="1" t="str">
        <x:v>2009-四-03</x:v>
      </x:c>
    </x:row>
    <x:row r="402" ht="22" customHeight="1">
      <x:c r="A402" s="1" t="n">
        <x:v>2009</x:v>
      </x:c>
      <x:c r="B402" s="1" t="str">
        <x:v>H2</x:v>
      </x:c>
      <x:c r="C402" s="1" t="str">
        <x:v>计算</x:v>
      </x:c>
      <x:c r="D402" s="1" t="str">
        <x:v>2009-四-03</x:v>
      </x:c>
    </x:row>
    <x:row r="403" ht="22" customHeight="1">
      <x:c r="A403" s="1" t="n">
        <x:v>2009</x:v>
      </x:c>
      <x:c r="B403" s="1" t="str">
        <x:v>H3</x:v>
      </x:c>
      <x:c r="C403" s="1" t="str">
        <x:v>计算</x:v>
      </x:c>
      <x:c r="D403" s="1" t="str">
        <x:v>2009-四-03</x:v>
      </x:c>
    </x:row>
    <x:row r="404" ht="22" customHeight="1">
      <x:c r="A404" s="1" t="n">
        <x:v>2009</x:v>
      </x:c>
      <x:c r="B404" s="1" t="str">
        <x:v>H5</x:v>
      </x:c>
      <x:c r="C404" s="1" t="str">
        <x:v>计算</x:v>
      </x:c>
      <x:c r="D404" s="1" t="str">
        <x:v>2009-四-03</x:v>
      </x:c>
    </x:row>
    <x:row r="405" ht="22" customHeight="1">
      <x:c r="A405" s="1" t="n">
        <x:v>2009</x:v>
      </x:c>
      <x:c r="B405" s="1" t="str">
        <x:v>A4</x:v>
      </x:c>
      <x:c r="C405" s="1" t="str">
        <x:v>计算</x:v>
      </x:c>
      <x:c r="D405" s="1" t="str">
        <x:v>2009-四-04</x:v>
      </x:c>
    </x:row>
    <x:row r="406" ht="22" customHeight="1">
      <x:c r="A406" s="1" t="n">
        <x:v>2009</x:v>
      </x:c>
      <x:c r="B406" s="1" t="str">
        <x:v>A3</x:v>
      </x:c>
      <x:c r="C406" s="1" t="str">
        <x:v>计算</x:v>
      </x:c>
      <x:c r="D406" s="1" t="str">
        <x:v>2009-四-04</x:v>
      </x:c>
    </x:row>
    <x:row r="407" ht="22" customHeight="1">
      <x:c r="A407" s="1" t="n">
        <x:v>2009</x:v>
      </x:c>
      <x:c r="B407" s="1" t="str">
        <x:v>A5</x:v>
      </x:c>
      <x:c r="C407" s="1" t="str">
        <x:v>计算</x:v>
      </x:c>
      <x:c r="D407" s="1" t="str">
        <x:v>2009-四-04</x:v>
      </x:c>
    </x:row>
    <x:row r="408" ht="22" customHeight="1">
      <x:c r="A408" s="1" t="n">
        <x:v>2009</x:v>
      </x:c>
      <x:c r="B408" s="1" t="str">
        <x:v>D2</x:v>
      </x:c>
      <x:c r="C408" s="1" t="str">
        <x:v>计算</x:v>
      </x:c>
      <x:c r="D408" s="1" t="str">
        <x:v>2009-四-05</x:v>
      </x:c>
    </x:row>
    <x:row r="409" ht="22" customHeight="1">
      <x:c r="A409" s="1" t="n">
        <x:v>2009</x:v>
      </x:c>
      <x:c r="B409" s="1" t="str">
        <x:v>D3</x:v>
      </x:c>
      <x:c r="C409" s="1" t="str">
        <x:v>计算</x:v>
      </x:c>
      <x:c r="D409" s="1" t="str">
        <x:v>2009-四-05</x:v>
      </x:c>
    </x:row>
    <x:row r="410" ht="22" customHeight="1">
      <x:c r="A410" s="1" t="n">
        <x:v>2009</x:v>
      </x:c>
      <x:c r="B410" s="1" t="str">
        <x:v>D4</x:v>
      </x:c>
      <x:c r="C410" s="1" t="str">
        <x:v>计算</x:v>
      </x:c>
      <x:c r="D410" s="1" t="str">
        <x:v>2009-四-05</x:v>
      </x:c>
    </x:row>
    <x:row r="411" ht="22" customHeight="1">
      <x:c r="A411" s="1" t="n">
        <x:v>2009</x:v>
      </x:c>
      <x:c r="B411" s="1" t="str">
        <x:v>D1</x:v>
      </x:c>
      <x:c r="C411" s="1" t="str">
        <x:v>计算</x:v>
      </x:c>
      <x:c r="D411" s="1" t="str">
        <x:v>2009-四-05</x:v>
      </x:c>
    </x:row>
    <x:row r="412" ht="22" customHeight="1">
      <x:c r="A412" s="1" t="n">
        <x:v>2010</x:v>
      </x:c>
      <x:c r="B412" s="1" t="str">
        <x:v>F3</x:v>
      </x:c>
      <x:c r="C412" s="1" t="str">
        <x:v>填空</x:v>
      </x:c>
      <x:c r="D412" s="1" t="str">
        <x:v>2010-一-01</x:v>
      </x:c>
    </x:row>
    <x:row r="413" ht="22" customHeight="1">
      <x:c r="A413" s="1" t="n">
        <x:v>2010</x:v>
      </x:c>
      <x:c r="B413" s="1" t="str">
        <x:v>F2</x:v>
      </x:c>
      <x:c r="C413" s="1" t="str">
        <x:v>填空</x:v>
      </x:c>
      <x:c r="D413" s="1" t="str">
        <x:v>2010-一-01</x:v>
      </x:c>
    </x:row>
    <x:row r="414" ht="22" customHeight="1">
      <x:c r="A414" s="1" t="n">
        <x:v>2010</x:v>
      </x:c>
      <x:c r="B414" s="1" t="str">
        <x:v>F3</x:v>
      </x:c>
      <x:c r="C414" s="1" t="str">
        <x:v>填空</x:v>
      </x:c>
      <x:c r="D414" s="1" t="str">
        <x:v>2010-一-02</x:v>
      </x:c>
    </x:row>
    <x:row r="415" ht="22" customHeight="1">
      <x:c r="A415" s="1" t="n">
        <x:v>2010</x:v>
      </x:c>
      <x:c r="B415" s="1" t="str">
        <x:v>F4</x:v>
      </x:c>
      <x:c r="C415" s="1" t="str">
        <x:v>填空</x:v>
      </x:c>
      <x:c r="D415" s="1" t="str">
        <x:v>2010-一-03</x:v>
      </x:c>
    </x:row>
    <x:row r="416" ht="22" customHeight="1">
      <x:c r="A416" s="1" t="n">
        <x:v>2010</x:v>
      </x:c>
      <x:c r="B416" s="1" t="str">
        <x:v>P2</x:v>
      </x:c>
      <x:c r="C416" s="1" t="str">
        <x:v>填空</x:v>
      </x:c>
      <x:c r="D416" s="1" t="str">
        <x:v>2010-一-04</x:v>
      </x:c>
    </x:row>
    <x:row r="417" ht="22" customHeight="1">
      <x:c r="A417" s="1" t="n">
        <x:v>2010</x:v>
      </x:c>
      <x:c r="B417" s="1" t="str">
        <x:v>P1</x:v>
      </x:c>
      <x:c r="C417" s="1" t="str">
        <x:v>填空</x:v>
      </x:c>
      <x:c r="D417" s="1" t="str">
        <x:v>2010-一-05</x:v>
      </x:c>
    </x:row>
    <x:row r="418" ht="22" customHeight="1">
      <x:c r="A418" s="1" t="n">
        <x:v>2010</x:v>
      </x:c>
      <x:c r="B418" s="1" t="str">
        <x:v>B1</x:v>
      </x:c>
      <x:c r="C418" s="1" t="str">
        <x:v>填空</x:v>
      </x:c>
      <x:c r="D418" s="1" t="str">
        <x:v>2010-一-06</x:v>
      </x:c>
    </x:row>
    <x:row r="419" ht="22" customHeight="1">
      <x:c r="A419" s="1" t="n">
        <x:v>2010</x:v>
      </x:c>
      <x:c r="B419" s="1" t="str">
        <x:v>S1</x:v>
      </x:c>
      <x:c r="C419" s="1" t="str">
        <x:v>填空</x:v>
      </x:c>
      <x:c r="D419" s="1" t="str">
        <x:v>2010-一-07</x:v>
      </x:c>
    </x:row>
    <x:row r="420" ht="22" customHeight="1">
      <x:c r="A420" s="1" t="n">
        <x:v>2010</x:v>
      </x:c>
      <x:c r="B420" s="1" t="str">
        <x:v>S4</x:v>
      </x:c>
      <x:c r="C420" s="1" t="str">
        <x:v>填空</x:v>
      </x:c>
      <x:c r="D420" s="1" t="str">
        <x:v>2010-一-08</x:v>
      </x:c>
    </x:row>
    <x:row r="421" ht="22" customHeight="1">
      <x:c r="A421" s="1" t="n">
        <x:v>2010</x:v>
      </x:c>
      <x:c r="B421" s="1" t="str">
        <x:v>S1</x:v>
      </x:c>
      <x:c r="C421" s="1" t="str">
        <x:v>填空</x:v>
      </x:c>
      <x:c r="D421" s="1" t="str">
        <x:v>2010-一-09</x:v>
      </x:c>
    </x:row>
    <x:row r="422" ht="22" customHeight="1">
      <x:c r="A422" s="1" t="n">
        <x:v>2010</x:v>
      </x:c>
      <x:c r="B422" s="1" t="str">
        <x:v>H4</x:v>
      </x:c>
      <x:c r="C422" s="1" t="str">
        <x:v>填空</x:v>
      </x:c>
      <x:c r="D422" s="1" t="str">
        <x:v>2010-一-10</x:v>
      </x:c>
    </x:row>
    <x:row r="423" ht="22" customHeight="1">
      <x:c r="A423" s="1" t="n">
        <x:v>2010</x:v>
      </x:c>
      <x:c r="B423" s="1" t="str">
        <x:v>H3</x:v>
      </x:c>
      <x:c r="C423" s="1" t="str">
        <x:v>填空</x:v>
      </x:c>
      <x:c r="D423" s="1" t="str">
        <x:v>2010-一-10</x:v>
      </x:c>
    </x:row>
    <x:row r="424" ht="22" customHeight="1">
      <x:c r="A424" s="1" t="n">
        <x:v>2010</x:v>
      </x:c>
      <x:c r="B424" s="1" t="str">
        <x:v>H5</x:v>
      </x:c>
      <x:c r="C424" s="1" t="str">
        <x:v>填空</x:v>
      </x:c>
      <x:c r="D424" s="1" t="str">
        <x:v>2010-一-11</x:v>
      </x:c>
    </x:row>
    <x:row r="425" ht="22" customHeight="1">
      <x:c r="A425" s="1" t="n">
        <x:v>2010</x:v>
      </x:c>
      <x:c r="B425" s="1" t="str">
        <x:v>O1</x:v>
      </x:c>
      <x:c r="C425" s="1" t="str">
        <x:v>填空</x:v>
      </x:c>
      <x:c r="D425" s="1" t="str">
        <x:v>2010-一-12</x:v>
      </x:c>
    </x:row>
    <x:row r="426" ht="22" customHeight="1">
      <x:c r="A426" s="1" t="n">
        <x:v>2010</x:v>
      </x:c>
      <x:c r="B426" s="1" t="str">
        <x:v>H6</x:v>
      </x:c>
      <x:c r="C426" s="1" t="str">
        <x:v>填空</x:v>
      </x:c>
      <x:c r="D426" s="1" t="str">
        <x:v>2010-一-13</x:v>
      </x:c>
    </x:row>
    <x:row r="427" ht="22" customHeight="1">
      <x:c r="A427" s="1" t="n">
        <x:v>2010</x:v>
      </x:c>
      <x:c r="B427" s="1" t="str">
        <x:v>H2</x:v>
      </x:c>
      <x:c r="C427" s="1" t="str">
        <x:v>填空</x:v>
      </x:c>
      <x:c r="D427" s="1" t="str">
        <x:v>2010-一-14</x:v>
      </x:c>
    </x:row>
    <x:row r="428" ht="22" customHeight="1">
      <x:c r="A428" s="1" t="n">
        <x:v>2010</x:v>
      </x:c>
      <x:c r="B428" s="1" t="str">
        <x:v>D1</x:v>
      </x:c>
      <x:c r="C428" s="1" t="str">
        <x:v>填空</x:v>
      </x:c>
      <x:c r="D428" s="1" t="str">
        <x:v>2010-一-15</x:v>
      </x:c>
    </x:row>
    <x:row r="429" ht="22" customHeight="1">
      <x:c r="A429" s="1" t="n">
        <x:v>2010</x:v>
      </x:c>
      <x:c r="B429" s="1" t="str">
        <x:v>D5</x:v>
      </x:c>
      <x:c r="C429" s="1" t="str">
        <x:v>填空</x:v>
      </x:c>
      <x:c r="D429" s="1" t="str">
        <x:v>2010-一-16</x:v>
      </x:c>
    </x:row>
    <x:row r="430" ht="22" customHeight="1">
      <x:c r="A430" s="1" t="n">
        <x:v>2010</x:v>
      </x:c>
      <x:c r="B430" s="1" t="str">
        <x:v>D2</x:v>
      </x:c>
      <x:c r="C430" s="1" t="str">
        <x:v>填空</x:v>
      </x:c>
      <x:c r="D430" s="1" t="str">
        <x:v>2010-一-17</x:v>
      </x:c>
    </x:row>
    <x:row r="431" ht="22" customHeight="1">
      <x:c r="A431" s="1" t="n">
        <x:v>2010</x:v>
      </x:c>
      <x:c r="B431" s="1" t="str">
        <x:v>A3</x:v>
      </x:c>
      <x:c r="C431" s="1" t="str">
        <x:v>填空</x:v>
      </x:c>
      <x:c r="D431" s="1" t="str">
        <x:v>2010-一-18</x:v>
      </x:c>
    </x:row>
    <x:row r="432" ht="22" customHeight="1">
      <x:c r="A432" s="1" t="n">
        <x:v>2010</x:v>
      </x:c>
      <x:c r="B432" s="1" t="str">
        <x:v>A4</x:v>
      </x:c>
      <x:c r="C432" s="1" t="str">
        <x:v>填空</x:v>
      </x:c>
      <x:c r="D432" s="1" t="str">
        <x:v>2010-一-18</x:v>
      </x:c>
    </x:row>
    <x:row r="433" ht="22" customHeight="1">
      <x:c r="A433" s="1" t="n">
        <x:v>2010</x:v>
      </x:c>
      <x:c r="B433" s="1" t="str">
        <x:v>A5</x:v>
      </x:c>
      <x:c r="C433" s="1" t="str">
        <x:v>填空</x:v>
      </x:c>
      <x:c r="D433" s="1" t="str">
        <x:v>2010-一-19</x:v>
      </x:c>
    </x:row>
    <x:row r="434" ht="22" customHeight="1">
      <x:c r="A434" s="1" t="n">
        <x:v>2010</x:v>
      </x:c>
      <x:c r="B434" s="1" t="str">
        <x:v>A4</x:v>
      </x:c>
      <x:c r="C434" s="1" t="str">
        <x:v>填空</x:v>
      </x:c>
      <x:c r="D434" s="1" t="str">
        <x:v>2010-一-20</x:v>
      </x:c>
    </x:row>
    <x:row r="435" ht="22" customHeight="1">
      <x:c r="A435" s="1" t="n">
        <x:v>2010</x:v>
      </x:c>
      <x:c r="B435" s="1" t="str">
        <x:v>O2</x:v>
      </x:c>
      <x:c r="C435" s="1" t="str">
        <x:v>填空</x:v>
      </x:c>
      <x:c r="D435" s="1" t="str">
        <x:v>2010-一-21</x:v>
      </x:c>
    </x:row>
    <x:row r="436" ht="22" customHeight="1">
      <x:c r="A436" s="1" t="n">
        <x:v>2010</x:v>
      </x:c>
      <x:c r="B436" s="1" t="str">
        <x:v>X1</x:v>
      </x:c>
      <x:c r="C436" s="1" t="str">
        <x:v>填空</x:v>
      </x:c>
      <x:c r="D436" s="1" t="str">
        <x:v>2010-一-22</x:v>
      </x:c>
    </x:row>
    <x:row r="437" ht="22" customHeight="1">
      <x:c r="A437" s="1" t="n">
        <x:v>2010</x:v>
      </x:c>
      <x:c r="B437" s="1" t="str">
        <x:v>X1</x:v>
      </x:c>
      <x:c r="C437" s="1" t="str">
        <x:v>填空</x:v>
      </x:c>
      <x:c r="D437" s="1" t="str">
        <x:v>2010-一-23</x:v>
      </x:c>
    </x:row>
    <x:row r="438" ht="22" customHeight="1">
      <x:c r="A438" s="1" t="n">
        <x:v>2010</x:v>
      </x:c>
      <x:c r="B438" s="1" t="str">
        <x:v>P1</x:v>
      </x:c>
      <x:c r="C438" s="1" t="str">
        <x:v>计算</x:v>
      </x:c>
      <x:c r="D438" s="1" t="str">
        <x:v>2010-二</x:v>
      </x:c>
    </x:row>
    <x:row r="439" ht="22" customHeight="1">
      <x:c r="A439" s="1" t="n">
        <x:v>2010</x:v>
      </x:c>
      <x:c r="B439" s="1" t="str">
        <x:v>F2</x:v>
      </x:c>
      <x:c r="C439" s="1" t="str">
        <x:v>计算</x:v>
      </x:c>
      <x:c r="D439" s="1" t="str">
        <x:v>2010-二</x:v>
      </x:c>
    </x:row>
    <x:row r="440" ht="22" customHeight="1">
      <x:c r="A440" s="1" t="n">
        <x:v>2010</x:v>
      </x:c>
      <x:c r="B440" s="1" t="str">
        <x:v>F3</x:v>
      </x:c>
      <x:c r="C440" s="1" t="str">
        <x:v>计算</x:v>
      </x:c>
      <x:c r="D440" s="1" t="str">
        <x:v>2010-二</x:v>
      </x:c>
    </x:row>
    <x:row r="441" ht="22" customHeight="1">
      <x:c r="A441" s="1" t="n">
        <x:v>2010</x:v>
      </x:c>
      <x:c r="B441" s="1" t="str">
        <x:v>S4</x:v>
      </x:c>
      <x:c r="C441" s="1" t="str">
        <x:v>计算</x:v>
      </x:c>
      <x:c r="D441" s="1" t="str">
        <x:v>2010-三</x:v>
      </x:c>
    </x:row>
    <x:row r="442" ht="22" customHeight="1">
      <x:c r="A442" s="1" t="n">
        <x:v>2010</x:v>
      </x:c>
      <x:c r="B442" s="1" t="str">
        <x:v>S3</x:v>
      </x:c>
      <x:c r="C442" s="1" t="str">
        <x:v>计算</x:v>
      </x:c>
      <x:c r="D442" s="1" t="str">
        <x:v>2010-三</x:v>
      </x:c>
    </x:row>
    <x:row r="443" ht="22" customHeight="1">
      <x:c r="A443" s="1" t="n">
        <x:v>2010</x:v>
      </x:c>
      <x:c r="B443" s="1" t="str">
        <x:v>H4</x:v>
      </x:c>
      <x:c r="C443" s="1" t="str">
        <x:v>计算</x:v>
      </x:c>
      <x:c r="D443" s="1" t="str">
        <x:v>2010-四</x:v>
      </x:c>
    </x:row>
    <x:row r="444" ht="22" customHeight="1">
      <x:c r="A444" s="1" t="n">
        <x:v>2010</x:v>
      </x:c>
      <x:c r="B444" s="1" t="str">
        <x:v>H2</x:v>
      </x:c>
      <x:c r="C444" s="1" t="str">
        <x:v>计算</x:v>
      </x:c>
      <x:c r="D444" s="1" t="str">
        <x:v>2010-四</x:v>
      </x:c>
    </x:row>
    <x:row r="445" ht="22" customHeight="1">
      <x:c r="A445" s="1" t="n">
        <x:v>2010</x:v>
      </x:c>
      <x:c r="B445" s="1" t="str">
        <x:v>H5</x:v>
      </x:c>
      <x:c r="C445" s="1" t="str">
        <x:v>计算</x:v>
      </x:c>
      <x:c r="D445" s="1" t="str">
        <x:v>2010-四</x:v>
      </x:c>
    </x:row>
    <x:row r="446" ht="22" customHeight="1">
      <x:c r="A446" s="1" t="n">
        <x:v>2010</x:v>
      </x:c>
      <x:c r="B446" s="1" t="str">
        <x:v>A4</x:v>
      </x:c>
      <x:c r="C446" s="1" t="str">
        <x:v>计算</x:v>
      </x:c>
      <x:c r="D446" s="1" t="str">
        <x:v>2010-五</x:v>
      </x:c>
    </x:row>
    <x:row r="447" ht="22" customHeight="1">
      <x:c r="A447" s="1" t="n">
        <x:v>2010</x:v>
      </x:c>
      <x:c r="B447" s="1" t="str">
        <x:v>A3</x:v>
      </x:c>
      <x:c r="C447" s="1" t="str">
        <x:v>计算</x:v>
      </x:c>
      <x:c r="D447" s="1" t="str">
        <x:v>2010-五</x:v>
      </x:c>
    </x:row>
    <x:row r="448" ht="22" customHeight="1">
      <x:c r="A448" s="1" t="n">
        <x:v>2010</x:v>
      </x:c>
      <x:c r="B448" s="1" t="str">
        <x:v>A5</x:v>
      </x:c>
      <x:c r="C448" s="1" t="str">
        <x:v>计算</x:v>
      </x:c>
      <x:c r="D448" s="1" t="str">
        <x:v>2010-五</x:v>
      </x:c>
    </x:row>
    <x:row r="449" ht="22" customHeight="1">
      <x:c r="A449" s="1" t="n">
        <x:v>2010</x:v>
      </x:c>
      <x:c r="B449" s="1" t="str">
        <x:v>D3</x:v>
      </x:c>
      <x:c r="C449" s="1" t="str">
        <x:v>计算</x:v>
      </x:c>
      <x:c r="D449" s="1" t="str">
        <x:v>2010-六</x:v>
      </x:c>
    </x:row>
    <x:row r="450" ht="22" customHeight="1">
      <x:c r="A450" s="1" t="n">
        <x:v>2010</x:v>
      </x:c>
      <x:c r="B450" s="1" t="str">
        <x:v>D2</x:v>
      </x:c>
      <x:c r="C450" s="1" t="str">
        <x:v>计算</x:v>
      </x:c>
      <x:c r="D450" s="1" t="str">
        <x:v>2010-六</x:v>
      </x:c>
    </x:row>
    <x:row r="451" ht="22" customHeight="1">
      <x:c r="A451" s="1" t="n">
        <x:v>2010</x:v>
      </x:c>
      <x:c r="B451" s="1" t="str">
        <x:v>D1</x:v>
      </x:c>
      <x:c r="C451" s="1" t="str">
        <x:v>计算</x:v>
      </x:c>
      <x:c r="D451" s="1" t="str">
        <x:v>2010-六</x:v>
      </x:c>
    </x:row>
    <x:row r="452" ht="22" customHeight="1">
      <x:c r="A452" s="1" t="n">
        <x:v>2021</x:v>
      </x:c>
      <x:c r="B452" s="1" t="str">
        <x:v>F3</x:v>
      </x:c>
      <x:c r="C452" s="1" t="str">
        <x:v>填空</x:v>
      </x:c>
      <x:c r="D452" s="1" t="str">
        <x:v>2021-一-01</x:v>
      </x:c>
    </x:row>
    <x:row r="453" ht="22" customHeight="1">
      <x:c r="A453" s="1" t="n">
        <x:v>2021</x:v>
      </x:c>
      <x:c r="B453" s="1" t="str">
        <x:v>F3</x:v>
      </x:c>
      <x:c r="C453" s="1" t="str">
        <x:v>填空</x:v>
      </x:c>
      <x:c r="D453" s="1" t="str">
        <x:v>2021-一-02</x:v>
      </x:c>
    </x:row>
    <x:row r="454" ht="22" customHeight="1">
      <x:c r="A454" s="1" t="n">
        <x:v>2021</x:v>
      </x:c>
      <x:c r="B454" s="1" t="str">
        <x:v>P1</x:v>
      </x:c>
      <x:c r="C454" s="1" t="str">
        <x:v>填空</x:v>
      </x:c>
      <x:c r="D454" s="1" t="str">
        <x:v>2021-一-03</x:v>
      </x:c>
    </x:row>
    <x:row r="455" ht="22" customHeight="1">
      <x:c r="A455" s="1" t="n">
        <x:v>2021</x:v>
      </x:c>
      <x:c r="B455" s="1" t="str">
        <x:v>P1</x:v>
      </x:c>
      <x:c r="C455" s="1" t="str">
        <x:v>填空</x:v>
      </x:c>
      <x:c r="D455" s="1" t="str">
        <x:v>2021-一-04</x:v>
      </x:c>
    </x:row>
    <x:row r="456" ht="22" customHeight="1">
      <x:c r="A456" s="1" t="n">
        <x:v>2021</x:v>
      </x:c>
      <x:c r="B456" s="1" t="str">
        <x:v>H3</x:v>
      </x:c>
      <x:c r="C456" s="1" t="str">
        <x:v>填空</x:v>
      </x:c>
      <x:c r="D456" s="1" t="str">
        <x:v>2021-一-05</x:v>
      </x:c>
    </x:row>
    <x:row r="457" ht="22" customHeight="1">
      <x:c r="A457" s="1" t="n">
        <x:v>2021</x:v>
      </x:c>
      <x:c r="B457" s="1" t="str">
        <x:v>D2</x:v>
      </x:c>
      <x:c r="C457" s="1" t="str">
        <x:v>填空</x:v>
      </x:c>
      <x:c r="D457" s="1" t="str">
        <x:v>2021-一-06</x:v>
      </x:c>
    </x:row>
    <x:row r="458" ht="22" customHeight="1">
      <x:c r="A458" s="1" t="n">
        <x:v>2021</x:v>
      </x:c>
      <x:c r="B458" s="1" t="str">
        <x:v>D4</x:v>
      </x:c>
      <x:c r="C458" s="1" t="str">
        <x:v>填空</x:v>
      </x:c>
      <x:c r="D458" s="1" t="str">
        <x:v>2021-一-06</x:v>
      </x:c>
    </x:row>
    <x:row r="459" ht="22" customHeight="1">
      <x:c r="A459" s="1" t="n">
        <x:v>2021</x:v>
      </x:c>
      <x:c r="B459" s="1" t="str">
        <x:v>D2</x:v>
      </x:c>
      <x:c r="C459" s="1" t="str">
        <x:v>填空</x:v>
      </x:c>
      <x:c r="D459" s="1" t="str">
        <x:v>2021-一-07</x:v>
      </x:c>
    </x:row>
    <x:row r="460" ht="22" customHeight="1">
      <x:c r="A460" s="1" t="n">
        <x:v>2021</x:v>
      </x:c>
      <x:c r="B460" s="1" t="str">
        <x:v>A1</x:v>
      </x:c>
      <x:c r="C460" s="1" t="str">
        <x:v>填空</x:v>
      </x:c>
      <x:c r="D460" s="1" t="str">
        <x:v>2021-一-08</x:v>
      </x:c>
    </x:row>
    <x:row r="461" ht="22" customHeight="1">
      <x:c r="A461" s="1" t="n">
        <x:v>2021</x:v>
      </x:c>
      <x:c r="B461" s="1" t="str">
        <x:v>A2</x:v>
      </x:c>
      <x:c r="C461" s="1" t="str">
        <x:v>填空</x:v>
      </x:c>
      <x:c r="D461" s="1" t="str">
        <x:v>2021-一-09</x:v>
      </x:c>
    </x:row>
    <x:row r="462" ht="22" customHeight="1">
      <x:c r="A462" s="1" t="n">
        <x:v>2021</x:v>
      </x:c>
      <x:c r="B462" s="1" t="str">
        <x:v>O2</x:v>
      </x:c>
      <x:c r="C462" s="1" t="str">
        <x:v>填空</x:v>
      </x:c>
      <x:c r="D462" s="1" t="str">
        <x:v>2021-一-10</x:v>
      </x:c>
    </x:row>
    <x:row r="463" ht="22" customHeight="1">
      <x:c r="A463" s="1" t="n">
        <x:v>2021</x:v>
      </x:c>
      <x:c r="B463" s="1" t="str">
        <x:v>O2</x:v>
      </x:c>
      <x:c r="C463" s="1" t="str">
        <x:v>填空</x:v>
      </x:c>
      <x:c r="D463" s="1" t="str">
        <x:v>2021-一-11</x:v>
      </x:c>
    </x:row>
    <x:row r="464" ht="22" customHeight="1">
      <x:c r="A464" s="1" t="n">
        <x:v>2021</x:v>
      </x:c>
      <x:c r="B464" s="1" t="str">
        <x:v>D2</x:v>
      </x:c>
      <x:c r="C464" s="1" t="str">
        <x:v>简答</x:v>
      </x:c>
      <x:c r="D464" s="1" t="str">
        <x:v>2021-二-01</x:v>
      </x:c>
    </x:row>
    <x:row r="465" ht="22" customHeight="1">
      <x:c r="A465" s="1" t="n">
        <x:v>2021</x:v>
      </x:c>
      <x:c r="B465" s="1" t="str">
        <x:v>T1</x:v>
      </x:c>
      <x:c r="C465" s="1" t="str">
        <x:v>简答</x:v>
      </x:c>
      <x:c r="D465" s="1" t="str">
        <x:v>2021-二-02</x:v>
      </x:c>
    </x:row>
    <x:row r="466" ht="22" customHeight="1">
      <x:c r="A466" s="1" t="n">
        <x:v>2021</x:v>
      </x:c>
      <x:c r="B466" s="1" t="str">
        <x:v>P1</x:v>
      </x:c>
      <x:c r="C466" s="1" t="str">
        <x:v>简答</x:v>
      </x:c>
      <x:c r="D466" s="1" t="str">
        <x:v>2021-二-03</x:v>
      </x:c>
    </x:row>
    <x:row r="467" ht="22" customHeight="1">
      <x:c r="A467" s="1" t="n">
        <x:v>2021</x:v>
      </x:c>
      <x:c r="B467" s="1" t="str">
        <x:v>H1</x:v>
      </x:c>
      <x:c r="C467" s="1" t="str">
        <x:v>简答</x:v>
      </x:c>
      <x:c r="D467" s="1" t="str">
        <x:v>2021-二-04</x:v>
      </x:c>
    </x:row>
    <x:row r="468" ht="22" customHeight="1">
      <x:c r="A468" s="1" t="n">
        <x:v>2021</x:v>
      </x:c>
      <x:c r="B468" s="1" t="str">
        <x:v>P1</x:v>
      </x:c>
      <x:c r="C468" s="1" t="str">
        <x:v>计算</x:v>
      </x:c>
      <x:c r="D468" s="1" t="str">
        <x:v>2021-三-01</x:v>
      </x:c>
    </x:row>
    <x:row r="469" ht="22" customHeight="1">
      <x:c r="A469" s="1" t="n">
        <x:v>2021</x:v>
      </x:c>
      <x:c r="B469" s="1" t="str">
        <x:v>F2</x:v>
      </x:c>
      <x:c r="C469" s="1" t="str">
        <x:v>计算</x:v>
      </x:c>
      <x:c r="D469" s="1" t="str">
        <x:v>2021-三-01</x:v>
      </x:c>
    </x:row>
    <x:row r="470" ht="22" customHeight="1">
      <x:c r="A470" s="1" t="n">
        <x:v>2021</x:v>
      </x:c>
      <x:c r="B470" s="1" t="str">
        <x:v>F3</x:v>
      </x:c>
      <x:c r="C470" s="1" t="str">
        <x:v>计算</x:v>
      </x:c>
      <x:c r="D470" s="1" t="str">
        <x:v>2021-三-01</x:v>
      </x:c>
    </x:row>
    <x:row r="471" ht="22" customHeight="1">
      <x:c r="A471" s="1" t="n">
        <x:v>2021</x:v>
      </x:c>
      <x:c r="B471" s="1" t="str">
        <x:v>P2</x:v>
      </x:c>
      <x:c r="C471" s="1" t="str">
        <x:v>计算</x:v>
      </x:c>
      <x:c r="D471" s="1" t="str">
        <x:v>2021-三-01</x:v>
      </x:c>
    </x:row>
    <x:row r="472" ht="22" customHeight="1">
      <x:c r="A472" s="1" t="n">
        <x:v>2021</x:v>
      </x:c>
      <x:c r="B472" s="1" t="str">
        <x:v>H4</x:v>
      </x:c>
      <x:c r="C472" s="1" t="str">
        <x:v>计算</x:v>
      </x:c>
      <x:c r="D472" s="1" t="str">
        <x:v>2021-三-02</x:v>
      </x:c>
    </x:row>
    <x:row r="473" ht="22" customHeight="1">
      <x:c r="A473" s="1" t="n">
        <x:v>2021</x:v>
      </x:c>
      <x:c r="B473" s="1" t="str">
        <x:v>H2</x:v>
      </x:c>
      <x:c r="C473" s="1" t="str">
        <x:v>计算</x:v>
      </x:c>
      <x:c r="D473" s="1" t="str">
        <x:v>2021-三-02</x:v>
      </x:c>
    </x:row>
    <x:row r="474" ht="22" customHeight="1">
      <x:c r="A474" s="1" t="n">
        <x:v>2021</x:v>
      </x:c>
      <x:c r="B474" s="1" t="str">
        <x:v>H3</x:v>
      </x:c>
      <x:c r="C474" s="1" t="str">
        <x:v>计算</x:v>
      </x:c>
      <x:c r="D474" s="1" t="str">
        <x:v>2021-三-02</x:v>
      </x:c>
    </x:row>
    <x:row r="475" ht="22" customHeight="1">
      <x:c r="A475" s="1" t="n">
        <x:v>2021</x:v>
      </x:c>
      <x:c r="B475" s="1" t="str">
        <x:v>S3</x:v>
      </x:c>
      <x:c r="C475" s="1" t="str">
        <x:v>计算</x:v>
      </x:c>
      <x:c r="D475" s="1" t="str">
        <x:v>2021-三-03</x:v>
      </x:c>
    </x:row>
    <x:row r="476" ht="22" customHeight="1">
      <x:c r="A476" s="1" t="n">
        <x:v>2021</x:v>
      </x:c>
      <x:c r="B476" s="1" t="str">
        <x:v>S4</x:v>
      </x:c>
      <x:c r="C476" s="1" t="str">
        <x:v>计算</x:v>
      </x:c>
      <x:c r="D476" s="1" t="str">
        <x:v>2021-三-03</x:v>
      </x:c>
    </x:row>
    <x:row r="477" ht="22" customHeight="1">
      <x:c r="A477" s="1" t="n">
        <x:v>2021</x:v>
      </x:c>
      <x:c r="B477" s="1" t="str">
        <x:v>A4</x:v>
      </x:c>
      <x:c r="C477" s="1" t="str">
        <x:v>计算</x:v>
      </x:c>
      <x:c r="D477" s="1" t="str">
        <x:v>2021-三-04</x:v>
      </x:c>
    </x:row>
    <x:row r="478" ht="22" customHeight="1">
      <x:c r="A478" s="1" t="n">
        <x:v>2021</x:v>
      </x:c>
      <x:c r="B478" s="1" t="str">
        <x:v>A3</x:v>
      </x:c>
      <x:c r="C478" s="1" t="str">
        <x:v>计算</x:v>
      </x:c>
      <x:c r="D478" s="1" t="str">
        <x:v>2021-三-04</x:v>
      </x:c>
    </x:row>
    <x:row r="479" ht="22" customHeight="1">
      <x:c r="A479" s="1" t="n">
        <x:v>2021</x:v>
      </x:c>
      <x:c r="B479" s="1" t="str">
        <x:v>D2</x:v>
      </x:c>
      <x:c r="C479" s="1" t="str">
        <x:v>计算</x:v>
      </x:c>
      <x:c r="D479" s="1" t="str">
        <x:v>2021-三-05</x:v>
      </x:c>
    </x:row>
    <x:row r="480" ht="22" customHeight="1">
      <x:c r="A480" s="1" t="n">
        <x:v>2021</x:v>
      </x:c>
      <x:c r="B480" s="1" t="str">
        <x:v>D4</x:v>
      </x:c>
      <x:c r="C480" s="1" t="str">
        <x:v>计算</x:v>
      </x:c>
      <x:c r="D480" s="1" t="str">
        <x:v>2021-三-05</x:v>
      </x:c>
    </x:row>
    <x:row r="481" ht="22" customHeight="1">
      <x:c r="A481" s="1" t="n">
        <x:v>2021</x:v>
      </x:c>
      <x:c r="B481" s="1" t="str">
        <x:v>D3</x:v>
      </x:c>
      <x:c r="C481" s="1" t="str">
        <x:v>计算</x:v>
      </x:c>
      <x:c r="D481" s="1" t="str">
        <x:v>2021-三-05</x:v>
      </x:c>
    </x:row>
    <x:row r="482" ht="22" customHeight="1">
      <x:c r="A482" s="1" t="n">
        <x:v>2021</x:v>
      </x:c>
      <x:c r="B482" s="1" t="str">
        <x:v>D1</x:v>
      </x:c>
      <x:c r="C482" s="1" t="str">
        <x:v>计算</x:v>
      </x:c>
      <x:c r="D482" s="1" t="str">
        <x:v>2021-三-05</x:v>
      </x:c>
    </x:row>
    <x:row r="483" ht="22" customHeight="1">
      <x:c r="A483" s="1" t="n">
        <x:v>2022</x:v>
      </x:c>
      <x:c r="B483" s="1" t="str">
        <x:v>F2</x:v>
      </x:c>
      <x:c r="C483" s="1" t="str">
        <x:v>填空</x:v>
      </x:c>
      <x:c r="D483" s="1" t="str">
        <x:v>2022-一-01</x:v>
      </x:c>
    </x:row>
    <x:row r="484" ht="22" customHeight="1">
      <x:c r="A484" s="1" t="n">
        <x:v>2022</x:v>
      </x:c>
      <x:c r="B484" s="1" t="str">
        <x:v>F4</x:v>
      </x:c>
      <x:c r="C484" s="1" t="str">
        <x:v>填空</x:v>
      </x:c>
      <x:c r="D484" s="1" t="str">
        <x:v>2022-一-02</x:v>
      </x:c>
    </x:row>
    <x:row r="485" ht="22" customHeight="1">
      <x:c r="A485" s="1" t="n">
        <x:v>2022</x:v>
      </x:c>
      <x:c r="B485" s="1" t="str">
        <x:v>F3</x:v>
      </x:c>
      <x:c r="C485" s="1" t="str">
        <x:v>填空</x:v>
      </x:c>
      <x:c r="D485" s="1" t="str">
        <x:v>2022-一-03</x:v>
      </x:c>
    </x:row>
    <x:row r="486" ht="22" customHeight="1">
      <x:c r="A486" s="1" t="n">
        <x:v>2022</x:v>
      </x:c>
      <x:c r="B486" s="1" t="str">
        <x:v>P2</x:v>
      </x:c>
      <x:c r="C486" s="1" t="str">
        <x:v>填空</x:v>
      </x:c>
      <x:c r="D486" s="1" t="str">
        <x:v>2022-一-04</x:v>
      </x:c>
    </x:row>
    <x:row r="487" ht="22" customHeight="1">
      <x:c r="A487" s="1" t="n">
        <x:v>2022</x:v>
      </x:c>
      <x:c r="B487" s="1" t="str">
        <x:v>P1</x:v>
      </x:c>
      <x:c r="C487" s="1" t="str">
        <x:v>填空</x:v>
      </x:c>
      <x:c r="D487" s="1" t="str">
        <x:v>2022-一-05</x:v>
      </x:c>
    </x:row>
    <x:row r="488" ht="22" customHeight="1">
      <x:c r="A488" s="1" t="n">
        <x:v>2022</x:v>
      </x:c>
      <x:c r="B488" s="1" t="str">
        <x:v>S3</x:v>
      </x:c>
      <x:c r="C488" s="1" t="str">
        <x:v>填空</x:v>
      </x:c>
      <x:c r="D488" s="1" t="str">
        <x:v>2022-一-06</x:v>
      </x:c>
    </x:row>
    <x:row r="489" ht="22" customHeight="1">
      <x:c r="A489" s="1" t="n">
        <x:v>2022</x:v>
      </x:c>
      <x:c r="B489" s="1" t="str">
        <x:v>S1</x:v>
      </x:c>
      <x:c r="C489" s="1" t="str">
        <x:v>填空</x:v>
      </x:c>
      <x:c r="D489" s="1" t="str">
        <x:v>2022-一-07</x:v>
      </x:c>
    </x:row>
    <x:row r="490" ht="22" customHeight="1">
      <x:c r="A490" s="1" t="n">
        <x:v>2022</x:v>
      </x:c>
      <x:c r="B490" s="1" t="str">
        <x:v>H6</x:v>
      </x:c>
      <x:c r="C490" s="1" t="str">
        <x:v>填空</x:v>
      </x:c>
      <x:c r="D490" s="1" t="str">
        <x:v>2022-一-08</x:v>
      </x:c>
    </x:row>
    <x:row r="491" ht="22" customHeight="1">
      <x:c r="A491" s="1" t="n">
        <x:v>2022</x:v>
      </x:c>
      <x:c r="B491" s="1" t="str">
        <x:v>H4</x:v>
      </x:c>
      <x:c r="C491" s="1" t="str">
        <x:v>填空</x:v>
      </x:c>
      <x:c r="D491" s="1" t="str">
        <x:v>2022-一-09</x:v>
      </x:c>
    </x:row>
    <x:row r="492" ht="22" customHeight="1">
      <x:c r="A492" s="1" t="n">
        <x:v>2022</x:v>
      </x:c>
      <x:c r="B492" s="1" t="str">
        <x:v>H4</x:v>
      </x:c>
      <x:c r="C492" s="1" t="str">
        <x:v>填空</x:v>
      </x:c>
      <x:c r="D492" s="1" t="str">
        <x:v>2022-一-10</x:v>
      </x:c>
    </x:row>
    <x:row r="493" ht="22" customHeight="1">
      <x:c r="A493" s="1" t="n">
        <x:v>2022</x:v>
      </x:c>
      <x:c r="B493" s="1" t="str">
        <x:v>H2</x:v>
      </x:c>
      <x:c r="C493" s="1" t="str">
        <x:v>填空</x:v>
      </x:c>
      <x:c r="D493" s="1" t="str">
        <x:v>2022-一-10</x:v>
      </x:c>
    </x:row>
    <x:row r="494" ht="22" customHeight="1">
      <x:c r="A494" s="1" t="n">
        <x:v>2022</x:v>
      </x:c>
      <x:c r="B494" s="1" t="str">
        <x:v>O1</x:v>
      </x:c>
      <x:c r="C494" s="1" t="str">
        <x:v>填空</x:v>
      </x:c>
      <x:c r="D494" s="1" t="str">
        <x:v>2022-一-11</x:v>
      </x:c>
    </x:row>
    <x:row r="495" ht="22" customHeight="1">
      <x:c r="A495" s="1" t="n">
        <x:v>2022</x:v>
      </x:c>
      <x:c r="B495" s="1" t="str">
        <x:v>A4</x:v>
      </x:c>
      <x:c r="C495" s="1" t="str">
        <x:v>填空</x:v>
      </x:c>
      <x:c r="D495" s="1" t="str">
        <x:v>2022-一-12</x:v>
      </x:c>
    </x:row>
    <x:row r="496" ht="22" customHeight="1">
      <x:c r="A496" s="1" t="n">
        <x:v>2022</x:v>
      </x:c>
      <x:c r="B496" s="1" t="str">
        <x:v>A2</x:v>
      </x:c>
      <x:c r="C496" s="1" t="str">
        <x:v>填空</x:v>
      </x:c>
      <x:c r="D496" s="1" t="str">
        <x:v>2022-一-13</x:v>
      </x:c>
    </x:row>
    <x:row r="497" ht="22" customHeight="1">
      <x:c r="A497" s="1" t="n">
        <x:v>2022</x:v>
      </x:c>
      <x:c r="B497" s="1" t="str">
        <x:v>A4</x:v>
      </x:c>
      <x:c r="C497" s="1" t="str">
        <x:v>填空</x:v>
      </x:c>
      <x:c r="D497" s="1" t="str">
        <x:v>2022-一-14</x:v>
      </x:c>
    </x:row>
    <x:row r="498" ht="22" customHeight="1">
      <x:c r="A498" s="1" t="n">
        <x:v>2022</x:v>
      </x:c>
      <x:c r="B498" s="1" t="str">
        <x:v>A5</x:v>
      </x:c>
      <x:c r="C498" s="1" t="str">
        <x:v>填空</x:v>
      </x:c>
      <x:c r="D498" s="1" t="str">
        <x:v>2022-一-15</x:v>
      </x:c>
    </x:row>
    <x:row r="499" ht="22" customHeight="1">
      <x:c r="A499" s="1" t="n">
        <x:v>2022</x:v>
      </x:c>
      <x:c r="B499" s="1" t="str">
        <x:v>D4</x:v>
      </x:c>
      <x:c r="C499" s="1" t="str">
        <x:v>填空</x:v>
      </x:c>
      <x:c r="D499" s="1" t="str">
        <x:v>2022-一-16</x:v>
      </x:c>
    </x:row>
    <x:row r="500" ht="22" customHeight="1">
      <x:c r="A500" s="1" t="n">
        <x:v>2022</x:v>
      </x:c>
      <x:c r="B500" s="1" t="str">
        <x:v>D3</x:v>
      </x:c>
      <x:c r="C500" s="1" t="str">
        <x:v>填空</x:v>
      </x:c>
      <x:c r="D500" s="1" t="str">
        <x:v>2022-一-16</x:v>
      </x:c>
    </x:row>
    <x:row r="501" ht="22" customHeight="1">
      <x:c r="A501" s="1" t="n">
        <x:v>2022</x:v>
      </x:c>
      <x:c r="B501" s="1" t="str">
        <x:v>D4</x:v>
      </x:c>
      <x:c r="C501" s="1" t="str">
        <x:v>填空</x:v>
      </x:c>
      <x:c r="D501" s="1" t="str">
        <x:v>2022-一-17</x:v>
      </x:c>
    </x:row>
    <x:row r="502" ht="22" customHeight="1">
      <x:c r="A502" s="1" t="n">
        <x:v>2022</x:v>
      </x:c>
      <x:c r="B502" s="1" t="str">
        <x:v>X1</x:v>
      </x:c>
      <x:c r="C502" s="1" t="str">
        <x:v>填空</x:v>
      </x:c>
      <x:c r="D502" s="1" t="str">
        <x:v>2022-一-18</x:v>
      </x:c>
    </x:row>
    <x:row r="503" ht="22" customHeight="1">
      <x:c r="A503" s="1" t="n">
        <x:v>2022</x:v>
      </x:c>
      <x:c r="B503" s="1" t="str">
        <x:v>F5</x:v>
      </x:c>
      <x:c r="C503" s="1" t="str">
        <x:v>简答</x:v>
      </x:c>
      <x:c r="D503" s="1" t="str">
        <x:v>2022-二-01</x:v>
      </x:c>
    </x:row>
    <x:row r="504" ht="22" customHeight="1">
      <x:c r="A504" s="1" t="n">
        <x:v>2022</x:v>
      </x:c>
      <x:c r="B504" s="1" t="str">
        <x:v>F1</x:v>
      </x:c>
      <x:c r="C504" s="1" t="str">
        <x:v>简答</x:v>
      </x:c>
      <x:c r="D504" s="1" t="str">
        <x:v>2022-二-01</x:v>
      </x:c>
    </x:row>
    <x:row r="505" ht="22" customHeight="1">
      <x:c r="A505" s="1" t="n">
        <x:v>2022</x:v>
      </x:c>
      <x:c r="B505" s="1" t="str">
        <x:v>S1</x:v>
      </x:c>
      <x:c r="C505" s="1" t="str">
        <x:v>简答</x:v>
      </x:c>
      <x:c r="D505" s="1" t="str">
        <x:v>2022-二-02</x:v>
      </x:c>
    </x:row>
    <x:row r="506" ht="22" customHeight="1">
      <x:c r="A506" s="1" t="n">
        <x:v>2022</x:v>
      </x:c>
      <x:c r="B506" s="1" t="str">
        <x:v>A5</x:v>
      </x:c>
      <x:c r="C506" s="1" t="str">
        <x:v>简答</x:v>
      </x:c>
      <x:c r="D506" s="1" t="str">
        <x:v>2022-二-03</x:v>
      </x:c>
    </x:row>
    <x:row r="507" ht="22" customHeight="1">
      <x:c r="A507" s="1" t="n">
        <x:v>2022</x:v>
      </x:c>
      <x:c r="B507" s="1" t="str">
        <x:v>A3</x:v>
      </x:c>
      <x:c r="C507" s="1" t="str">
        <x:v>简答</x:v>
      </x:c>
      <x:c r="D507" s="1" t="str">
        <x:v>2022-二-03</x:v>
      </x:c>
    </x:row>
    <x:row r="508" ht="22" customHeight="1">
      <x:c r="A508" s="1" t="n">
        <x:v>2022</x:v>
      </x:c>
      <x:c r="B508" s="1" t="str">
        <x:v>D4</x:v>
      </x:c>
      <x:c r="C508" s="1" t="str">
        <x:v>简答</x:v>
      </x:c>
      <x:c r="D508" s="1" t="str">
        <x:v>2022-二-04</x:v>
      </x:c>
    </x:row>
    <x:row r="509" ht="22" customHeight="1">
      <x:c r="A509" s="1" t="n">
        <x:v>2022</x:v>
      </x:c>
      <x:c r="B509" s="1" t="str">
        <x:v>T1</x:v>
      </x:c>
      <x:c r="C509" s="1" t="str">
        <x:v>简答</x:v>
      </x:c>
      <x:c r="D509" s="1" t="str">
        <x:v>2022-二-04</x:v>
      </x:c>
    </x:row>
    <x:row r="510" ht="22" customHeight="1">
      <x:c r="A510" s="1" t="n">
        <x:v>2022</x:v>
      </x:c>
      <x:c r="B510" s="1" t="str">
        <x:v>P1</x:v>
      </x:c>
      <x:c r="C510" s="1" t="str">
        <x:v>计算</x:v>
      </x:c>
      <x:c r="D510" s="1" t="str">
        <x:v>2022-三-01</x:v>
      </x:c>
    </x:row>
    <x:row r="511" ht="22" customHeight="1">
      <x:c r="A511" s="1" t="n">
        <x:v>2022</x:v>
      </x:c>
      <x:c r="B511" s="1" t="str">
        <x:v>F2</x:v>
      </x:c>
      <x:c r="C511" s="1" t="str">
        <x:v>计算</x:v>
      </x:c>
      <x:c r="D511" s="1" t="str">
        <x:v>2022-三-01</x:v>
      </x:c>
    </x:row>
    <x:row r="512" ht="22" customHeight="1">
      <x:c r="A512" s="1" t="n">
        <x:v>2022</x:v>
      </x:c>
      <x:c r="B512" s="1" t="str">
        <x:v>F3</x:v>
      </x:c>
      <x:c r="C512" s="1" t="str">
        <x:v>计算</x:v>
      </x:c>
      <x:c r="D512" s="1" t="str">
        <x:v>2022-三-01</x:v>
      </x:c>
    </x:row>
    <x:row r="513" ht="22" customHeight="1">
      <x:c r="A513" s="1" t="n">
        <x:v>2022</x:v>
      </x:c>
      <x:c r="B513" s="1" t="str">
        <x:v>S4</x:v>
      </x:c>
      <x:c r="C513" s="1" t="str">
        <x:v>计算</x:v>
      </x:c>
      <x:c r="D513" s="1" t="str">
        <x:v>2022-三-02</x:v>
      </x:c>
    </x:row>
    <x:row r="514" ht="22" customHeight="1">
      <x:c r="A514" s="1" t="n">
        <x:v>2022</x:v>
      </x:c>
      <x:c r="B514" s="1" t="str">
        <x:v>S3</x:v>
      </x:c>
      <x:c r="C514" s="1" t="str">
        <x:v>计算</x:v>
      </x:c>
      <x:c r="D514" s="1" t="str">
        <x:v>2022-三-02</x:v>
      </x:c>
    </x:row>
    <x:row r="515" ht="22" customHeight="1">
      <x:c r="A515" s="1" t="n">
        <x:v>2022</x:v>
      </x:c>
      <x:c r="B515" s="1" t="str">
        <x:v>H4</x:v>
      </x:c>
      <x:c r="C515" s="1" t="str">
        <x:v>计算</x:v>
      </x:c>
      <x:c r="D515" s="1" t="str">
        <x:v>2022-三-03</x:v>
      </x:c>
    </x:row>
    <x:row r="516" ht="22" customHeight="1">
      <x:c r="A516" s="1" t="n">
        <x:v>2022</x:v>
      </x:c>
      <x:c r="B516" s="1" t="str">
        <x:v>H2</x:v>
      </x:c>
      <x:c r="C516" s="1" t="str">
        <x:v>计算</x:v>
      </x:c>
      <x:c r="D516" s="1" t="str">
        <x:v>2022-三-03</x:v>
      </x:c>
    </x:row>
    <x:row r="517" ht="22" customHeight="1">
      <x:c r="A517" s="1" t="n">
        <x:v>2022</x:v>
      </x:c>
      <x:c r="B517" s="1" t="str">
        <x:v>H3</x:v>
      </x:c>
      <x:c r="C517" s="1" t="str">
        <x:v>计算</x:v>
      </x:c>
      <x:c r="D517" s="1" t="str">
        <x:v>2022-三-03</x:v>
      </x:c>
    </x:row>
    <x:row r="518" ht="22" customHeight="1">
      <x:c r="A518" s="1" t="n">
        <x:v>2022</x:v>
      </x:c>
      <x:c r="B518" s="1" t="str">
        <x:v>H5</x:v>
      </x:c>
      <x:c r="C518" s="1" t="str">
        <x:v>计算</x:v>
      </x:c>
      <x:c r="D518" s="1" t="str">
        <x:v>2022-三-03</x:v>
      </x:c>
    </x:row>
    <x:row r="519" ht="22" customHeight="1">
      <x:c r="A519" s="1" t="n">
        <x:v>2022</x:v>
      </x:c>
      <x:c r="B519" s="1" t="str">
        <x:v>A4</x:v>
      </x:c>
      <x:c r="C519" s="1" t="str">
        <x:v>计算</x:v>
      </x:c>
      <x:c r="D519" s="1" t="str">
        <x:v>2022-三-04</x:v>
      </x:c>
    </x:row>
    <x:row r="520" ht="22" customHeight="1">
      <x:c r="A520" s="1" t="n">
        <x:v>2022</x:v>
      </x:c>
      <x:c r="B520" s="1" t="str">
        <x:v>A3</x:v>
      </x:c>
      <x:c r="C520" s="1" t="str">
        <x:v>计算</x:v>
      </x:c>
      <x:c r="D520" s="1" t="str">
        <x:v>2022-三-04</x:v>
      </x:c>
    </x:row>
    <x:row r="521" ht="22" customHeight="1">
      <x:c r="A521" s="1" t="n">
        <x:v>2022</x:v>
      </x:c>
      <x:c r="B521" s="1" t="str">
        <x:v>A5</x:v>
      </x:c>
      <x:c r="C521" s="1" t="str">
        <x:v>计算</x:v>
      </x:c>
      <x:c r="D521" s="1" t="str">
        <x:v>2022-三-04</x:v>
      </x:c>
    </x:row>
    <x:row r="522" ht="22" customHeight="1">
      <x:c r="A522" s="1" t="n">
        <x:v>2022</x:v>
      </x:c>
      <x:c r="B522" s="1" t="str">
        <x:v>D2</x:v>
      </x:c>
      <x:c r="C522" s="1" t="str">
        <x:v>计算</x:v>
      </x:c>
      <x:c r="D522" s="1" t="str">
        <x:v>2022-三-05</x:v>
      </x:c>
    </x:row>
    <x:row r="523" ht="22" customHeight="1">
      <x:c r="A523" s="1" t="n">
        <x:v>2022</x:v>
      </x:c>
      <x:c r="B523" s="1" t="str">
        <x:v>D4</x:v>
      </x:c>
      <x:c r="C523" s="1" t="str">
        <x:v>计算</x:v>
      </x:c>
      <x:c r="D523" s="1" t="str">
        <x:v>2022-三-05</x:v>
      </x:c>
    </x:row>
    <x:row r="524" ht="22" customHeight="1">
      <x:c r="A524" s="1" t="n">
        <x:v>2022</x:v>
      </x:c>
      <x:c r="B524" s="1" t="str">
        <x:v>D3</x:v>
      </x:c>
      <x:c r="C524" s="1" t="str">
        <x:v>计算</x:v>
      </x:c>
      <x:c r="D524" s="1" t="str">
        <x:v>2022-三-05</x:v>
      </x:c>
    </x:row>
    <x:row r="525" ht="22" customHeight="1">
      <x:c r="A525" s="1" t="n">
        <x:v>2022</x:v>
      </x:c>
      <x:c r="B525" s="1" t="str">
        <x:v>D1</x:v>
      </x:c>
      <x:c r="C525" s="1" t="str">
        <x:v>计算</x:v>
      </x:c>
      <x:c r="D525" s="1" t="str">
        <x:v>2022-三-05</x:v>
      </x:c>
    </x:row>
    <x:row r="526" ht="22" customHeight="1">
      <x:c r="A526" s="1" t="n">
        <x:v>2023</x:v>
      </x:c>
      <x:c r="B526" s="1" t="str">
        <x:v>S2</x:v>
      </x:c>
      <x:c r="C526" s="1" t="str">
        <x:v>填空</x:v>
      </x:c>
      <x:c r="D526" s="1" t="str">
        <x:v>2023-一-01</x:v>
      </x:c>
    </x:row>
    <x:row r="527" ht="22" customHeight="1">
      <x:c r="A527" s="1" t="n">
        <x:v>2023</x:v>
      </x:c>
      <x:c r="B527" s="1" t="str">
        <x:v>F2</x:v>
      </x:c>
      <x:c r="C527" s="1" t="str">
        <x:v>填空</x:v>
      </x:c>
      <x:c r="D527" s="1" t="str">
        <x:v>2023-一-02</x:v>
      </x:c>
    </x:row>
    <x:row r="528" ht="22" customHeight="1">
      <x:c r="A528" s="1" t="n">
        <x:v>2023</x:v>
      </x:c>
      <x:c r="B528" s="1" t="str">
        <x:v>H2</x:v>
      </x:c>
      <x:c r="C528" s="1" t="str">
        <x:v>填空</x:v>
      </x:c>
      <x:c r="D528" s="1" t="str">
        <x:v>2023-一-03</x:v>
      </x:c>
    </x:row>
    <x:row r="529" ht="22" customHeight="1">
      <x:c r="A529" s="1" t="n">
        <x:v>2023</x:v>
      </x:c>
      <x:c r="B529" s="1" t="str">
        <x:v>P1</x:v>
      </x:c>
      <x:c r="C529" s="1" t="str">
        <x:v>填空</x:v>
      </x:c>
      <x:c r="D529" s="1" t="str">
        <x:v>2023-一-04</x:v>
      </x:c>
    </x:row>
    <x:row r="530" ht="22" customHeight="1">
      <x:c r="A530" s="1" t="n">
        <x:v>2023</x:v>
      </x:c>
      <x:c r="B530" s="1" t="str">
        <x:v>H1</x:v>
      </x:c>
      <x:c r="C530" s="1" t="str">
        <x:v>填空</x:v>
      </x:c>
      <x:c r="D530" s="1" t="str">
        <x:v>2023-一-05</x:v>
      </x:c>
    </x:row>
    <x:row r="531" ht="22" customHeight="1">
      <x:c r="A531" s="1" t="n">
        <x:v>2023</x:v>
      </x:c>
      <x:c r="B531" s="1" t="str">
        <x:v>F3</x:v>
      </x:c>
      <x:c r="C531" s="1" t="str">
        <x:v>填空</x:v>
      </x:c>
      <x:c r="D531" s="1" t="str">
        <x:v>2023-一-06</x:v>
      </x:c>
    </x:row>
    <x:row r="532" ht="22" customHeight="1">
      <x:c r="A532" s="1" t="n">
        <x:v>2023</x:v>
      </x:c>
      <x:c r="B532" s="1" t="str">
        <x:v>F2</x:v>
      </x:c>
      <x:c r="C532" s="1" t="str">
        <x:v>填空</x:v>
      </x:c>
      <x:c r="D532" s="1" t="str">
        <x:v>2023-一-06</x:v>
      </x:c>
    </x:row>
    <x:row r="533" ht="22" customHeight="1">
      <x:c r="A533" s="1" t="n">
        <x:v>2023</x:v>
      </x:c>
      <x:c r="B533" s="1" t="str">
        <x:v>S3</x:v>
      </x:c>
      <x:c r="C533" s="1" t="str">
        <x:v>填空</x:v>
      </x:c>
      <x:c r="D533" s="1" t="str">
        <x:v>2023-一-07</x:v>
      </x:c>
    </x:row>
    <x:row r="534" ht="22" customHeight="1">
      <x:c r="A534" s="1" t="n">
        <x:v>2023</x:v>
      </x:c>
      <x:c r="B534" s="1" t="str">
        <x:v>S4</x:v>
      </x:c>
      <x:c r="C534" s="1" t="str">
        <x:v>填空</x:v>
      </x:c>
      <x:c r="D534" s="1" t="str">
        <x:v>2023-一-07</x:v>
      </x:c>
    </x:row>
    <x:row r="535" ht="22" customHeight="1">
      <x:c r="A535" s="1" t="n">
        <x:v>2023</x:v>
      </x:c>
      <x:c r="B535" s="1" t="str">
        <x:v>H5</x:v>
      </x:c>
      <x:c r="C535" s="1" t="str">
        <x:v>填空</x:v>
      </x:c>
      <x:c r="D535" s="1" t="str">
        <x:v>2023-一-08</x:v>
      </x:c>
    </x:row>
    <x:row r="536" ht="22" customHeight="1">
      <x:c r="A536" s="1" t="n">
        <x:v>2023</x:v>
      </x:c>
      <x:c r="B536" s="1" t="str">
        <x:v>F3</x:v>
      </x:c>
      <x:c r="C536" s="1" t="str">
        <x:v>填空</x:v>
      </x:c>
      <x:c r="D536" s="1" t="str">
        <x:v>2023-一-09</x:v>
      </x:c>
    </x:row>
    <x:row r="537" ht="22" customHeight="1">
      <x:c r="A537" s="1" t="n">
        <x:v>2023</x:v>
      </x:c>
      <x:c r="B537" s="1" t="str">
        <x:v>S1</x:v>
      </x:c>
      <x:c r="C537" s="1" t="str">
        <x:v>填空</x:v>
      </x:c>
      <x:c r="D537" s="1" t="str">
        <x:v>2023-一-10</x:v>
      </x:c>
    </x:row>
    <x:row r="538" ht="22" customHeight="1">
      <x:c r="A538" s="1" t="n">
        <x:v>2023</x:v>
      </x:c>
      <x:c r="B538" s="1" t="str">
        <x:v>S2</x:v>
      </x:c>
      <x:c r="C538" s="1" t="str">
        <x:v>填空</x:v>
      </x:c>
      <x:c r="D538" s="1" t="str">
        <x:v>2023-一-10</x:v>
      </x:c>
    </x:row>
    <x:row r="539" ht="22" customHeight="1">
      <x:c r="A539" s="1" t="n">
        <x:v>2023</x:v>
      </x:c>
      <x:c r="B539" s="1" t="str">
        <x:v>H2</x:v>
      </x:c>
      <x:c r="C539" s="1" t="str">
        <x:v>填空</x:v>
      </x:c>
      <x:c r="D539" s="1" t="str">
        <x:v>2023-一-11</x:v>
      </x:c>
    </x:row>
    <x:row r="540" ht="22" customHeight="1">
      <x:c r="A540" s="1" t="n">
        <x:v>2023</x:v>
      </x:c>
      <x:c r="B540" s="1" t="str">
        <x:v>P2</x:v>
      </x:c>
      <x:c r="C540" s="1" t="str">
        <x:v>填空</x:v>
      </x:c>
      <x:c r="D540" s="1" t="str">
        <x:v>2023-一-12</x:v>
      </x:c>
    </x:row>
    <x:row r="541" ht="22" customHeight="1">
      <x:c r="A541" s="1" t="n">
        <x:v>2023</x:v>
      </x:c>
      <x:c r="B541" s="1" t="str">
        <x:v>H1</x:v>
      </x:c>
      <x:c r="C541" s="1" t="str">
        <x:v>填空</x:v>
      </x:c>
      <x:c r="D541" s="1" t="str">
        <x:v>2023-一-13</x:v>
      </x:c>
    </x:row>
    <x:row r="542" ht="22" customHeight="1">
      <x:c r="A542" s="1" t="n">
        <x:v>2023</x:v>
      </x:c>
      <x:c r="B542" s="1" t="str">
        <x:v>T1</x:v>
      </x:c>
      <x:c r="C542" s="1" t="str">
        <x:v>填空</x:v>
      </x:c>
      <x:c r="D542" s="1" t="str">
        <x:v>2023-一-14</x:v>
      </x:c>
    </x:row>
    <x:row r="543" ht="22" customHeight="1">
      <x:c r="A543" s="1" t="n">
        <x:v>2023</x:v>
      </x:c>
      <x:c r="B543" s="1" t="str">
        <x:v>D1</x:v>
      </x:c>
      <x:c r="C543" s="1" t="str">
        <x:v>填空</x:v>
      </x:c>
      <x:c r="D543" s="1" t="str">
        <x:v>2023-一-15</x:v>
      </x:c>
    </x:row>
    <x:row r="544" ht="22" customHeight="1">
      <x:c r="A544" s="1" t="n">
        <x:v>2023</x:v>
      </x:c>
      <x:c r="B544" s="1" t="str">
        <x:v>M1</x:v>
      </x:c>
      <x:c r="C544" s="1" t="str">
        <x:v>填空</x:v>
      </x:c>
      <x:c r="D544" s="1" t="str">
        <x:v>2023-一-16</x:v>
      </x:c>
    </x:row>
    <x:row r="545" ht="22" customHeight="1">
      <x:c r="A545" s="1" t="n">
        <x:v>2023</x:v>
      </x:c>
      <x:c r="B545" s="1" t="str">
        <x:v>D4</x:v>
      </x:c>
      <x:c r="C545" s="1" t="str">
        <x:v>填空</x:v>
      </x:c>
      <x:c r="D545" s="1" t="str">
        <x:v>2023-一-17</x:v>
      </x:c>
    </x:row>
    <x:row r="546" ht="22" customHeight="1">
      <x:c r="A546" s="1" t="n">
        <x:v>2023</x:v>
      </x:c>
      <x:c r="B546" s="1" t="str">
        <x:v>D3</x:v>
      </x:c>
      <x:c r="C546" s="1" t="str">
        <x:v>填空</x:v>
      </x:c>
      <x:c r="D546" s="1" t="str">
        <x:v>2023-一-17</x:v>
      </x:c>
    </x:row>
    <x:row r="547" ht="22" customHeight="1">
      <x:c r="A547" s="1" t="n">
        <x:v>2023</x:v>
      </x:c>
      <x:c r="B547" s="1" t="str">
        <x:v>A1</x:v>
      </x:c>
      <x:c r="C547" s="1" t="str">
        <x:v>填空</x:v>
      </x:c>
      <x:c r="D547" s="1" t="str">
        <x:v>2023-一-18</x:v>
      </x:c>
    </x:row>
    <x:row r="548" ht="22" customHeight="1">
      <x:c r="A548" s="1" t="n">
        <x:v>2023</x:v>
      </x:c>
      <x:c r="B548" s="1" t="str">
        <x:v>A2</x:v>
      </x:c>
      <x:c r="C548" s="1" t="str">
        <x:v>填空</x:v>
      </x:c>
      <x:c r="D548" s="1" t="str">
        <x:v>2023-一-18</x:v>
      </x:c>
    </x:row>
    <x:row r="549" ht="22" customHeight="1">
      <x:c r="A549" s="1" t="n">
        <x:v>2023</x:v>
      </x:c>
      <x:c r="B549" s="1" t="str">
        <x:v>T1</x:v>
      </x:c>
      <x:c r="C549" s="1" t="str">
        <x:v>填空</x:v>
      </x:c>
      <x:c r="D549" s="1" t="str">
        <x:v>2023-一-19</x:v>
      </x:c>
    </x:row>
    <x:row r="550" ht="22" customHeight="1">
      <x:c r="A550" s="1" t="n">
        <x:v>2023</x:v>
      </x:c>
      <x:c r="B550" s="1" t="str">
        <x:v>A5</x:v>
      </x:c>
      <x:c r="C550" s="1" t="str">
        <x:v>填空</x:v>
      </x:c>
      <x:c r="D550" s="1" t="str">
        <x:v>2023-一-20</x:v>
      </x:c>
    </x:row>
    <x:row r="551" ht="22" customHeight="1">
      <x:c r="A551" s="1" t="n">
        <x:v>2023</x:v>
      </x:c>
      <x:c r="B551" s="1" t="str">
        <x:v>A2</x:v>
      </x:c>
      <x:c r="C551" s="1" t="str">
        <x:v>填空</x:v>
      </x:c>
      <x:c r="D551" s="1" t="str">
        <x:v>2023-一-20</x:v>
      </x:c>
    </x:row>
    <x:row r="552" ht="22" customHeight="1">
      <x:c r="A552" s="1" t="n">
        <x:v>2023</x:v>
      </x:c>
      <x:c r="B552" s="1" t="str">
        <x:v>P2</x:v>
      </x:c>
      <x:c r="C552" s="1" t="str">
        <x:v>简答</x:v>
      </x:c>
      <x:c r="D552" s="1" t="str">
        <x:v>2023-二-01</x:v>
      </x:c>
    </x:row>
    <x:row r="553" ht="22" customHeight="1">
      <x:c r="A553" s="1" t="n">
        <x:v>2023</x:v>
      </x:c>
      <x:c r="B553" s="1" t="str">
        <x:v>H1</x:v>
      </x:c>
      <x:c r="C553" s="1" t="str">
        <x:v>简答</x:v>
      </x:c>
      <x:c r="D553" s="1" t="str">
        <x:v>2023-二-02</x:v>
      </x:c>
    </x:row>
    <x:row r="554" ht="22" customHeight="1">
      <x:c r="A554" s="1" t="n">
        <x:v>2023</x:v>
      </x:c>
      <x:c r="B554" s="1" t="str">
        <x:v>S3</x:v>
      </x:c>
      <x:c r="C554" s="1" t="str">
        <x:v>简答</x:v>
      </x:c>
      <x:c r="D554" s="1" t="str">
        <x:v>2023-二-03</x:v>
      </x:c>
    </x:row>
    <x:row r="555" ht="22" customHeight="1">
      <x:c r="A555" s="1" t="n">
        <x:v>2023</x:v>
      </x:c>
      <x:c r="B555" s="1" t="str">
        <x:v>A2</x:v>
      </x:c>
      <x:c r="C555" s="1" t="str">
        <x:v>简答</x:v>
      </x:c>
      <x:c r="D555" s="1" t="str">
        <x:v>2023-二-04</x:v>
      </x:c>
    </x:row>
    <x:row r="556" ht="22" customHeight="1">
      <x:c r="A556" s="1" t="n">
        <x:v>2023</x:v>
      </x:c>
      <x:c r="B556" s="1" t="str">
        <x:v>D2</x:v>
      </x:c>
      <x:c r="C556" s="1" t="str">
        <x:v>简答</x:v>
      </x:c>
      <x:c r="D556" s="1" t="str">
        <x:v>2023-二-05</x:v>
      </x:c>
    </x:row>
    <x:row r="557" ht="22" customHeight="1">
      <x:c r="A557" s="1" t="n">
        <x:v>2023</x:v>
      </x:c>
      <x:c r="B557" s="1" t="str">
        <x:v>P1</x:v>
      </x:c>
      <x:c r="C557" s="1" t="str">
        <x:v>计算</x:v>
      </x:c>
      <x:c r="D557" s="1" t="str">
        <x:v>2023-三-01</x:v>
      </x:c>
    </x:row>
    <x:row r="558" ht="22" customHeight="1">
      <x:c r="A558" s="1" t="n">
        <x:v>2023</x:v>
      </x:c>
      <x:c r="B558" s="1" t="str">
        <x:v>F2</x:v>
      </x:c>
      <x:c r="C558" s="1" t="str">
        <x:v>计算</x:v>
      </x:c>
      <x:c r="D558" s="1" t="str">
        <x:v>2023-三-01</x:v>
      </x:c>
    </x:row>
    <x:row r="559" ht="22" customHeight="1">
      <x:c r="A559" s="1" t="n">
        <x:v>2023</x:v>
      </x:c>
      <x:c r="B559" s="1" t="str">
        <x:v>F3</x:v>
      </x:c>
      <x:c r="C559" s="1" t="str">
        <x:v>计算</x:v>
      </x:c>
      <x:c r="D559" s="1" t="str">
        <x:v>2023-三-01</x:v>
      </x:c>
    </x:row>
    <x:row r="560" ht="22" customHeight="1">
      <x:c r="A560" s="1" t="n">
        <x:v>2023</x:v>
      </x:c>
      <x:c r="B560" s="1" t="str">
        <x:v>H4</x:v>
      </x:c>
      <x:c r="C560" s="1" t="str">
        <x:v>计算</x:v>
      </x:c>
      <x:c r="D560" s="1" t="str">
        <x:v>2023-三-02</x:v>
      </x:c>
    </x:row>
    <x:row r="561" ht="22" customHeight="1">
      <x:c r="A561" s="1" t="n">
        <x:v>2023</x:v>
      </x:c>
      <x:c r="B561" s="1" t="str">
        <x:v>H2</x:v>
      </x:c>
      <x:c r="C561" s="1" t="str">
        <x:v>计算</x:v>
      </x:c>
      <x:c r="D561" s="1" t="str">
        <x:v>2023-三-02</x:v>
      </x:c>
    </x:row>
    <x:row r="562" ht="22" customHeight="1">
      <x:c r="A562" s="1" t="n">
        <x:v>2023</x:v>
      </x:c>
      <x:c r="B562" s="1" t="str">
        <x:v>H3</x:v>
      </x:c>
      <x:c r="C562" s="1" t="str">
        <x:v>计算</x:v>
      </x:c>
      <x:c r="D562" s="1" t="str">
        <x:v>2023-三-02</x:v>
      </x:c>
    </x:row>
    <x:row r="563" ht="22" customHeight="1">
      <x:c r="A563" s="1" t="n">
        <x:v>2023</x:v>
      </x:c>
      <x:c r="B563" s="1" t="str">
        <x:v>D2</x:v>
      </x:c>
      <x:c r="C563" s="1" t="str">
        <x:v>计算</x:v>
      </x:c>
      <x:c r="D563" s="1" t="str">
        <x:v>2023-三-03</x:v>
      </x:c>
    </x:row>
    <x:row r="564" ht="22" customHeight="1">
      <x:c r="A564" s="1" t="n">
        <x:v>2023</x:v>
      </x:c>
      <x:c r="B564" s="1" t="str">
        <x:v>D4</x:v>
      </x:c>
      <x:c r="C564" s="1" t="str">
        <x:v>计算</x:v>
      </x:c>
      <x:c r="D564" s="1" t="str">
        <x:v>2023-三-03</x:v>
      </x:c>
    </x:row>
    <x:row r="565" ht="22" customHeight="1">
      <x:c r="A565" s="1" t="n">
        <x:v>2023</x:v>
      </x:c>
      <x:c r="B565" s="1" t="str">
        <x:v>D3</x:v>
      </x:c>
      <x:c r="C565" s="1" t="str">
        <x:v>计算</x:v>
      </x:c>
      <x:c r="D565" s="1" t="str">
        <x:v>2023-三-03</x:v>
      </x:c>
    </x:row>
    <x:row r="566" ht="22" customHeight="1">
      <x:c r="A566" s="1" t="n">
        <x:v>2023</x:v>
      </x:c>
      <x:c r="B566" s="1" t="str">
        <x:v>D1</x:v>
      </x:c>
      <x:c r="C566" s="1" t="str">
        <x:v>计算</x:v>
      </x:c>
      <x:c r="D566" s="1" t="str">
        <x:v>2023-三-03</x:v>
      </x:c>
    </x:row>
    <x:row r="567" ht="22" customHeight="1">
      <x:c r="A567" s="1" t="n">
        <x:v>2023</x:v>
      </x:c>
      <x:c r="B567" s="1" t="str">
        <x:v>A4</x:v>
      </x:c>
      <x:c r="C567" s="1" t="str">
        <x:v>计算</x:v>
      </x:c>
      <x:c r="D567" s="1" t="str">
        <x:v>2023-三-04</x:v>
      </x:c>
    </x:row>
    <x:row r="568" ht="22" customHeight="1">
      <x:c r="A568" s="1" t="n">
        <x:v>2023</x:v>
      </x:c>
      <x:c r="B568" s="1" t="str">
        <x:v>A3</x:v>
      </x:c>
      <x:c r="C568" s="1" t="str">
        <x:v>计算</x:v>
      </x:c>
      <x:c r="D568" s="1" t="str">
        <x:v>2023-三-04</x:v>
      </x:c>
    </x:row>
    <x:row r="569" ht="22" customHeight="1">
      <x:c r="A569" s="1" t="n">
        <x:v>2024</x:v>
      </x:c>
      <x:c r="B569" s="1" t="str">
        <x:v>F3</x:v>
      </x:c>
      <x:c r="C569" s="1" t="str">
        <x:v>填空</x:v>
      </x:c>
      <x:c r="D569" s="1" t="str">
        <x:v>2024-一-01</x:v>
      </x:c>
    </x:row>
    <x:row r="570" ht="22" customHeight="1">
      <x:c r="A570" s="1" t="n">
        <x:v>2024</x:v>
      </x:c>
      <x:c r="B570" s="1" t="str">
        <x:v>F5</x:v>
      </x:c>
      <x:c r="C570" s="1" t="str">
        <x:v>填空</x:v>
      </x:c>
      <x:c r="D570" s="1" t="str">
        <x:v>2024-一-02</x:v>
      </x:c>
    </x:row>
    <x:row r="571" ht="22" customHeight="1">
      <x:c r="A571" s="1" t="n">
        <x:v>2024</x:v>
      </x:c>
      <x:c r="B571" s="1" t="str">
        <x:v>P1</x:v>
      </x:c>
      <x:c r="C571" s="1" t="str">
        <x:v>填空</x:v>
      </x:c>
      <x:c r="D571" s="1" t="str">
        <x:v>2024-一-03</x:v>
      </x:c>
    </x:row>
    <x:row r="572" ht="22" customHeight="1">
      <x:c r="A572" s="1" t="n">
        <x:v>2024</x:v>
      </x:c>
      <x:c r="B572" s="1" t="str">
        <x:v>P2</x:v>
      </x:c>
      <x:c r="C572" s="1" t="str">
        <x:v>填空</x:v>
      </x:c>
      <x:c r="D572" s="1" t="str">
        <x:v>2024-一-04</x:v>
      </x:c>
    </x:row>
    <x:row r="573" ht="22" customHeight="1">
      <x:c r="A573" s="1" t="n">
        <x:v>2024</x:v>
      </x:c>
      <x:c r="B573" s="1" t="str">
        <x:v>H2</x:v>
      </x:c>
      <x:c r="C573" s="1" t="str">
        <x:v>填空</x:v>
      </x:c>
      <x:c r="D573" s="1" t="str">
        <x:v>2024-一-05</x:v>
      </x:c>
    </x:row>
    <x:row r="574" ht="22" customHeight="1">
      <x:c r="A574" s="1" t="n">
        <x:v>2024</x:v>
      </x:c>
      <x:c r="B574" s="1" t="str">
        <x:v>S1</x:v>
      </x:c>
      <x:c r="C574" s="1" t="str">
        <x:v>填空</x:v>
      </x:c>
      <x:c r="D574" s="1" t="str">
        <x:v>2024-一-06</x:v>
      </x:c>
    </x:row>
    <x:row r="575" ht="22" customHeight="1">
      <x:c r="A575" s="1" t="n">
        <x:v>2024</x:v>
      </x:c>
      <x:c r="B575" s="1" t="str">
        <x:v>M1</x:v>
      </x:c>
      <x:c r="C575" s="1" t="str">
        <x:v>填空</x:v>
      </x:c>
      <x:c r="D575" s="1" t="str">
        <x:v>2024-一-07</x:v>
      </x:c>
    </x:row>
    <x:row r="576" ht="22" customHeight="1">
      <x:c r="A576" s="1" t="n">
        <x:v>2024</x:v>
      </x:c>
      <x:c r="B576" s="1" t="str">
        <x:v>D3</x:v>
      </x:c>
      <x:c r="C576" s="1" t="str">
        <x:v>填空</x:v>
      </x:c>
      <x:c r="D576" s="1" t="str">
        <x:v>2024-一-08</x:v>
      </x:c>
    </x:row>
    <x:row r="577" ht="22" customHeight="1">
      <x:c r="A577" s="1" t="n">
        <x:v>2024</x:v>
      </x:c>
      <x:c r="B577" s="1" t="str">
        <x:v>D4</x:v>
      </x:c>
      <x:c r="C577" s="1" t="str">
        <x:v>填空</x:v>
      </x:c>
      <x:c r="D577" s="1" t="str">
        <x:v>2024-一-08</x:v>
      </x:c>
    </x:row>
    <x:row r="578" ht="22" customHeight="1">
      <x:c r="A578" s="1" t="n">
        <x:v>2024</x:v>
      </x:c>
      <x:c r="B578" s="1" t="str">
        <x:v>D1</x:v>
      </x:c>
      <x:c r="C578" s="1" t="str">
        <x:v>填空</x:v>
      </x:c>
      <x:c r="D578" s="1" t="str">
        <x:v>2024-一-08</x:v>
      </x:c>
    </x:row>
    <x:row r="579" ht="22" customHeight="1">
      <x:c r="A579" s="1" t="n">
        <x:v>2024</x:v>
      </x:c>
      <x:c r="B579" s="1" t="str">
        <x:v>A3</x:v>
      </x:c>
      <x:c r="C579" s="1" t="str">
        <x:v>填空</x:v>
      </x:c>
      <x:c r="D579" s="1" t="str">
        <x:v>2024-一-09</x:v>
      </x:c>
    </x:row>
    <x:row r="580" ht="22" customHeight="1">
      <x:c r="A580" s="1" t="n">
        <x:v>2024</x:v>
      </x:c>
      <x:c r="B580" s="1" t="str">
        <x:v>A1</x:v>
      </x:c>
      <x:c r="C580" s="1" t="str">
        <x:v>填空</x:v>
      </x:c>
      <x:c r="D580" s="1" t="str">
        <x:v>2024-一-09</x:v>
      </x:c>
    </x:row>
    <x:row r="581" ht="22" customHeight="1">
      <x:c r="A581" s="1" t="n">
        <x:v>2024</x:v>
      </x:c>
      <x:c r="B581" s="1" t="str">
        <x:v>X1</x:v>
      </x:c>
      <x:c r="C581" s="1" t="str">
        <x:v>填空</x:v>
      </x:c>
      <x:c r="D581" s="1" t="str">
        <x:v>2024-一-10</x:v>
      </x:c>
    </x:row>
    <x:row r="582" ht="22" customHeight="1">
      <x:c r="A582" s="1" t="n">
        <x:v>2024</x:v>
      </x:c>
      <x:c r="B582" s="1" t="str">
        <x:v>A1</x:v>
      </x:c>
      <x:c r="C582" s="1" t="str">
        <x:v>填空</x:v>
      </x:c>
      <x:c r="D582" s="1" t="str">
        <x:v>2024-一-11</x:v>
      </x:c>
    </x:row>
    <x:row r="583" ht="22" customHeight="1">
      <x:c r="A583" s="1" t="n">
        <x:v>2024</x:v>
      </x:c>
      <x:c r="B583" s="1" t="str">
        <x:v>D2</x:v>
      </x:c>
      <x:c r="C583" s="1" t="str">
        <x:v>填空</x:v>
      </x:c>
      <x:c r="D583" s="1" t="str">
        <x:v>2024-一-12</x:v>
      </x:c>
    </x:row>
    <x:row r="584" ht="22" customHeight="1">
      <x:c r="A584" s="1" t="n">
        <x:v>2024</x:v>
      </x:c>
      <x:c r="B584" s="1" t="str">
        <x:v>D4</x:v>
      </x:c>
      <x:c r="C584" s="1" t="str">
        <x:v>填空</x:v>
      </x:c>
      <x:c r="D584" s="1" t="str">
        <x:v>2024-一-12</x:v>
      </x:c>
    </x:row>
    <x:row r="585" ht="22" customHeight="1">
      <x:c r="A585" s="1" t="n">
        <x:v>2024</x:v>
      </x:c>
      <x:c r="B585" s="1" t="str">
        <x:v>D5</x:v>
      </x:c>
      <x:c r="C585" s="1" t="str">
        <x:v>选择</x:v>
      </x:c>
      <x:c r="D585" s="1" t="str">
        <x:v>2024-二-01</x:v>
      </x:c>
    </x:row>
    <x:row r="586" ht="22" customHeight="1">
      <x:c r="A586" s="1" t="n">
        <x:v>2024</x:v>
      </x:c>
      <x:c r="B586" s="1" t="str">
        <x:v>M1</x:v>
      </x:c>
      <x:c r="C586" s="1" t="str">
        <x:v>选择</x:v>
      </x:c>
      <x:c r="D586" s="1" t="str">
        <x:v>2024-二-02</x:v>
      </x:c>
    </x:row>
    <x:row r="587" ht="22" customHeight="1">
      <x:c r="A587" s="1" t="n">
        <x:v>2024</x:v>
      </x:c>
      <x:c r="B587" s="1" t="str">
        <x:v>H4</x:v>
      </x:c>
      <x:c r="C587" s="1" t="str">
        <x:v>选择</x:v>
      </x:c>
      <x:c r="D587" s="1" t="str">
        <x:v>2024-二-04</x:v>
      </x:c>
    </x:row>
    <x:row r="588" ht="22" customHeight="1">
      <x:c r="A588" s="1" t="n">
        <x:v>2024</x:v>
      </x:c>
      <x:c r="B588" s="1" t="str">
        <x:v>H5</x:v>
      </x:c>
      <x:c r="C588" s="1" t="str">
        <x:v>选择</x:v>
      </x:c>
      <x:c r="D588" s="1" t="str">
        <x:v>2024-二-04</x:v>
      </x:c>
    </x:row>
    <x:row r="589" ht="22" customHeight="1">
      <x:c r="A589" s="1" t="n">
        <x:v>2024</x:v>
      </x:c>
      <x:c r="B589" s="1" t="str">
        <x:v>H4</x:v>
      </x:c>
      <x:c r="C589" s="1" t="str">
        <x:v>选择</x:v>
      </x:c>
      <x:c r="D589" s="1" t="str">
        <x:v>2024-二-05</x:v>
      </x:c>
    </x:row>
    <x:row r="590" ht="22" customHeight="1">
      <x:c r="A590" s="1" t="n">
        <x:v>2024</x:v>
      </x:c>
      <x:c r="B590" s="1" t="str">
        <x:v>H3</x:v>
      </x:c>
      <x:c r="C590" s="1" t="str">
        <x:v>选择</x:v>
      </x:c>
      <x:c r="D590" s="1" t="str">
        <x:v>2024-二-05</x:v>
      </x:c>
    </x:row>
    <x:row r="591" ht="22" customHeight="1">
      <x:c r="A591" s="1" t="n">
        <x:v>2024</x:v>
      </x:c>
      <x:c r="B591" s="1" t="str">
        <x:v>H5</x:v>
      </x:c>
      <x:c r="C591" s="1" t="str">
        <x:v>简答</x:v>
      </x:c>
      <x:c r="D591" s="1" t="str">
        <x:v>2024-三-01</x:v>
      </x:c>
    </x:row>
    <x:row r="592" ht="22" customHeight="1">
      <x:c r="A592" s="1" t="n">
        <x:v>2024</x:v>
      </x:c>
      <x:c r="B592" s="1" t="str">
        <x:v>H3</x:v>
      </x:c>
      <x:c r="C592" s="1" t="str">
        <x:v>简答</x:v>
      </x:c>
      <x:c r="D592" s="1" t="str">
        <x:v>2024-三-01</x:v>
      </x:c>
    </x:row>
    <x:row r="593" ht="22" customHeight="1">
      <x:c r="A593" s="1" t="n">
        <x:v>2024</x:v>
      </x:c>
      <x:c r="B593" s="1" t="str">
        <x:v>H2</x:v>
      </x:c>
      <x:c r="C593" s="1" t="str">
        <x:v>简答</x:v>
      </x:c>
      <x:c r="D593" s="1" t="str">
        <x:v>2024-三-01</x:v>
      </x:c>
    </x:row>
    <x:row r="594" ht="22" customHeight="1">
      <x:c r="A594" s="1" t="n">
        <x:v>2024</x:v>
      </x:c>
      <x:c r="B594" s="1" t="str">
        <x:v>T1</x:v>
      </x:c>
      <x:c r="C594" s="1" t="str">
        <x:v>简答</x:v>
      </x:c>
      <x:c r="D594" s="1" t="str">
        <x:v>2024-三-02</x:v>
      </x:c>
    </x:row>
    <x:row r="595" ht="22" customHeight="1">
      <x:c r="A595" s="1" t="n">
        <x:v>2024</x:v>
      </x:c>
      <x:c r="B595" s="1" t="str">
        <x:v>P1</x:v>
      </x:c>
      <x:c r="C595" s="1" t="str">
        <x:v>计算</x:v>
      </x:c>
      <x:c r="D595" s="1" t="str">
        <x:v>2024-四-01</x:v>
      </x:c>
    </x:row>
    <x:row r="596" ht="22" customHeight="1">
      <x:c r="A596" s="1" t="n">
        <x:v>2024</x:v>
      </x:c>
      <x:c r="B596" s="1" t="str">
        <x:v>F2</x:v>
      </x:c>
      <x:c r="C596" s="1" t="str">
        <x:v>计算</x:v>
      </x:c>
      <x:c r="D596" s="1" t="str">
        <x:v>2024-四-01</x:v>
      </x:c>
    </x:row>
    <x:row r="597" ht="22" customHeight="1">
      <x:c r="A597" s="1" t="n">
        <x:v>2024</x:v>
      </x:c>
      <x:c r="B597" s="1" t="str">
        <x:v>F3</x:v>
      </x:c>
      <x:c r="C597" s="1" t="str">
        <x:v>计算</x:v>
      </x:c>
      <x:c r="D597" s="1" t="str">
        <x:v>2024-四-01</x:v>
      </x:c>
    </x:row>
    <x:row r="598" ht="22" customHeight="1">
      <x:c r="A598" s="1" t="n">
        <x:v>2024</x:v>
      </x:c>
      <x:c r="B598" s="1" t="str">
        <x:v>H4</x:v>
      </x:c>
      <x:c r="C598" s="1" t="str">
        <x:v>计算</x:v>
      </x:c>
      <x:c r="D598" s="1" t="str">
        <x:v>2024-四-02</x:v>
      </x:c>
    </x:row>
    <x:row r="599" ht="22" customHeight="1">
      <x:c r="A599" s="1" t="n">
        <x:v>2024</x:v>
      </x:c>
      <x:c r="B599" s="1" t="str">
        <x:v>H2</x:v>
      </x:c>
      <x:c r="C599" s="1" t="str">
        <x:v>计算</x:v>
      </x:c>
      <x:c r="D599" s="1" t="str">
        <x:v>2024-四-02</x:v>
      </x:c>
    </x:row>
    <x:row r="600" ht="22" customHeight="1">
      <x:c r="A600" s="1" t="n">
        <x:v>2024</x:v>
      </x:c>
      <x:c r="B600" s="1" t="str">
        <x:v>H3</x:v>
      </x:c>
      <x:c r="C600" s="1" t="str">
        <x:v>计算</x:v>
      </x:c>
      <x:c r="D600" s="1" t="str">
        <x:v>2024-四-02</x:v>
      </x:c>
    </x:row>
    <x:row r="601" ht="22" customHeight="1">
      <x:c r="A601" s="1" t="n">
        <x:v>2024</x:v>
      </x:c>
      <x:c r="B601" s="1" t="str">
        <x:v>S4</x:v>
      </x:c>
      <x:c r="C601" s="1" t="str">
        <x:v>计算</x:v>
      </x:c>
      <x:c r="D601" s="1" t="str">
        <x:v>2024-四-03</x:v>
      </x:c>
    </x:row>
    <x:row r="602" ht="22" customHeight="1">
      <x:c r="A602" s="1" t="n">
        <x:v>2024</x:v>
      </x:c>
      <x:c r="B602" s="1" t="str">
        <x:v>S3</x:v>
      </x:c>
      <x:c r="C602" s="1" t="str">
        <x:v>计算</x:v>
      </x:c>
      <x:c r="D602" s="1" t="str">
        <x:v>2024-四-03</x:v>
      </x:c>
    </x:row>
    <x:row r="603" ht="22" customHeight="1">
      <x:c r="A603" s="1" t="n">
        <x:v>2024</x:v>
      </x:c>
      <x:c r="B603" s="1" t="str">
        <x:v>A4</x:v>
      </x:c>
      <x:c r="C603" s="1" t="str">
        <x:v>计算</x:v>
      </x:c>
      <x:c r="D603" s="1" t="str">
        <x:v>2024-四-04</x:v>
      </x:c>
    </x:row>
    <x:row r="604" ht="22" customHeight="1">
      <x:c r="A604" s="1" t="n">
        <x:v>2024</x:v>
      </x:c>
      <x:c r="B604" s="1" t="str">
        <x:v>A3</x:v>
      </x:c>
      <x:c r="C604" s="1" t="str">
        <x:v>计算</x:v>
      </x:c>
      <x:c r="D604" s="1" t="str">
        <x:v>2024-四-04</x:v>
      </x:c>
    </x:row>
    <x:row r="605" ht="22" customHeight="1">
      <x:c r="A605" s="1" t="n">
        <x:v>2024</x:v>
      </x:c>
      <x:c r="B605" s="1" t="str">
        <x:v>A2</x:v>
      </x:c>
      <x:c r="C605" s="1" t="str">
        <x:v>计算</x:v>
      </x:c>
      <x:c r="D605" s="1" t="str">
        <x:v>2024-四-04</x:v>
      </x:c>
    </x:row>
    <x:row r="606" ht="22" customHeight="1">
      <x:c r="A606" s="1" t="n">
        <x:v>2024</x:v>
      </x:c>
      <x:c r="B606" s="1" t="str">
        <x:v>D2</x:v>
      </x:c>
      <x:c r="C606" s="1" t="str">
        <x:v>计算</x:v>
      </x:c>
      <x:c r="D606" s="1" t="str">
        <x:v>2024-四-05</x:v>
      </x:c>
    </x:row>
    <x:row r="607" ht="22" customHeight="1">
      <x:c r="A607" s="1" t="n">
        <x:v>2024</x:v>
      </x:c>
      <x:c r="B607" s="1" t="str">
        <x:v>D4</x:v>
      </x:c>
      <x:c r="C607" s="1" t="str">
        <x:v>计算</x:v>
      </x:c>
      <x:c r="D607" s="1" t="str">
        <x:v>2024-四-05</x:v>
      </x:c>
    </x:row>
    <x:row r="608" ht="22" customHeight="1">
      <x:c r="A608" s="1" t="n">
        <x:v>2024</x:v>
      </x:c>
      <x:c r="B608" s="1" t="str">
        <x:v>D3</x:v>
      </x:c>
      <x:c r="C608" s="1" t="str">
        <x:v>计算</x:v>
      </x:c>
      <x:c r="D608" s="1" t="str">
        <x:v>2024-四-05</x:v>
      </x:c>
    </x:row>
    <x:row r="609" ht="22" customHeight="1">
      <x:c r="A609" s="1" t="n">
        <x:v>2024</x:v>
      </x:c>
      <x:c r="B609" s="1" t="str">
        <x:v>D1</x:v>
      </x:c>
      <x:c r="C609" s="1" t="str">
        <x:v>计算</x:v>
      </x:c>
      <x:c r="D609" s="1" t="str">
        <x:v>2024-四-05</x:v>
      </x:c>
    </x:row>
    <x:row r="610" ht="22" customHeight="1">
      <x:c r="A610" s="1" t="n">
        <x:v>2025</x:v>
      </x:c>
      <x:c r="B610" s="1" t="str">
        <x:v>H2</x:v>
      </x:c>
      <x:c r="C610" s="1" t="str">
        <x:v>选择</x:v>
      </x:c>
      <x:c r="D610" s="1" t="str">
        <x:v>2025-一-01</x:v>
      </x:c>
    </x:row>
    <x:row r="611" ht="22" customHeight="1">
      <x:c r="A611" s="1" t="n">
        <x:v>2025</x:v>
      </x:c>
      <x:c r="B611" s="1" t="str">
        <x:v>H6</x:v>
      </x:c>
      <x:c r="C611" s="1" t="str">
        <x:v>选择</x:v>
      </x:c>
      <x:c r="D611" s="1" t="str">
        <x:v>2025-一-01</x:v>
      </x:c>
    </x:row>
    <x:row r="612" ht="22" customHeight="1">
      <x:c r="A612" s="1" t="n">
        <x:v>2025</x:v>
      </x:c>
      <x:c r="B612" s="1" t="str">
        <x:v>H3</x:v>
      </x:c>
      <x:c r="C612" s="1" t="str">
        <x:v>选择</x:v>
      </x:c>
      <x:c r="D612" s="1" t="str">
        <x:v>2025-一-02</x:v>
      </x:c>
    </x:row>
    <x:row r="613" ht="22" customHeight="1">
      <x:c r="A613" s="1" t="n">
        <x:v>2025</x:v>
      </x:c>
      <x:c r="B613" s="1" t="str">
        <x:v>H4</x:v>
      </x:c>
      <x:c r="C613" s="1" t="str">
        <x:v>选择</x:v>
      </x:c>
      <x:c r="D613" s="1" t="str">
        <x:v>2025-一-02</x:v>
      </x:c>
    </x:row>
    <x:row r="614" ht="22" customHeight="1">
      <x:c r="A614" s="1" t="n">
        <x:v>2025</x:v>
      </x:c>
      <x:c r="B614" s="1" t="str">
        <x:v>H1</x:v>
      </x:c>
      <x:c r="C614" s="1" t="str">
        <x:v>选择</x:v>
      </x:c>
      <x:c r="D614" s="1" t="str">
        <x:v>2025-一-03</x:v>
      </x:c>
    </x:row>
    <x:row r="615" ht="22" customHeight="1">
      <x:c r="A615" s="1" t="n">
        <x:v>2025</x:v>
      </x:c>
      <x:c r="B615" s="1" t="str">
        <x:v>S2</x:v>
      </x:c>
      <x:c r="C615" s="1" t="str">
        <x:v>选择</x:v>
      </x:c>
      <x:c r="D615" s="1" t="str">
        <x:v>2025-一-04</x:v>
      </x:c>
    </x:row>
    <x:row r="616" ht="22" customHeight="1">
      <x:c r="A616" s="1" t="n">
        <x:v>2025</x:v>
      </x:c>
      <x:c r="B616" s="1" t="str">
        <x:v>F2</x:v>
      </x:c>
      <x:c r="C616" s="1" t="str">
        <x:v>填空</x:v>
      </x:c>
      <x:c r="D616" s="1" t="str">
        <x:v>2025-二-01</x:v>
      </x:c>
    </x:row>
    <x:row r="617" ht="22" customHeight="1">
      <x:c r="A617" s="1" t="n">
        <x:v>2025</x:v>
      </x:c>
      <x:c r="B617" s="1" t="str">
        <x:v>F3</x:v>
      </x:c>
      <x:c r="C617" s="1" t="str">
        <x:v>填空</x:v>
      </x:c>
      <x:c r="D617" s="1" t="str">
        <x:v>2025-二-02</x:v>
      </x:c>
    </x:row>
    <x:row r="618" ht="22" customHeight="1">
      <x:c r="A618" s="1" t="n">
        <x:v>2025</x:v>
      </x:c>
      <x:c r="B618" s="1" t="str">
        <x:v>M1</x:v>
      </x:c>
      <x:c r="C618" s="1" t="str">
        <x:v>填空</x:v>
      </x:c>
      <x:c r="D618" s="1" t="str">
        <x:v>2025-二-03</x:v>
      </x:c>
    </x:row>
    <x:row r="619" ht="22" customHeight="1">
      <x:c r="A619" s="1" t="n">
        <x:v>2025</x:v>
      </x:c>
      <x:c r="B619" s="1" t="str">
        <x:v>T1</x:v>
      </x:c>
      <x:c r="C619" s="1" t="str">
        <x:v>填空</x:v>
      </x:c>
      <x:c r="D619" s="1" t="str">
        <x:v>2025-二-04</x:v>
      </x:c>
    </x:row>
    <x:row r="620" ht="22" customHeight="1">
      <x:c r="A620" s="1" t="n">
        <x:v>2025</x:v>
      </x:c>
      <x:c r="B620" s="1" t="str">
        <x:v>D4</x:v>
      </x:c>
      <x:c r="C620" s="1" t="str">
        <x:v>填空</x:v>
      </x:c>
      <x:c r="D620" s="1" t="str">
        <x:v>2025-二-05</x:v>
      </x:c>
    </x:row>
    <x:row r="621" ht="22" customHeight="1">
      <x:c r="A621" s="1" t="n">
        <x:v>2025</x:v>
      </x:c>
      <x:c r="B621" s="1" t="str">
        <x:v>D2</x:v>
      </x:c>
      <x:c r="C621" s="1" t="str">
        <x:v>填空</x:v>
      </x:c>
      <x:c r="D621" s="1" t="str">
        <x:v>2025-二-05</x:v>
      </x:c>
    </x:row>
    <x:row r="622" ht="22" customHeight="1">
      <x:c r="A622" s="1" t="n">
        <x:v>2025</x:v>
      </x:c>
      <x:c r="B622" s="1" t="str">
        <x:v>D3</x:v>
      </x:c>
      <x:c r="C622" s="1" t="str">
        <x:v>填空</x:v>
      </x:c>
      <x:c r="D622" s="1" t="str">
        <x:v>2025-二-06</x:v>
      </x:c>
    </x:row>
    <x:row r="623" ht="22" customHeight="1">
      <x:c r="A623" s="1" t="n">
        <x:v>2025</x:v>
      </x:c>
      <x:c r="B623" s="1" t="str">
        <x:v>A4</x:v>
      </x:c>
      <x:c r="C623" s="1" t="str">
        <x:v>填空</x:v>
      </x:c>
      <x:c r="D623" s="1" t="str">
        <x:v>2025-二-07</x:v>
      </x:c>
    </x:row>
    <x:row r="624" ht="22" customHeight="1">
      <x:c r="A624" s="1" t="n">
        <x:v>2025</x:v>
      </x:c>
      <x:c r="B624" s="1" t="str">
        <x:v>A5</x:v>
      </x:c>
      <x:c r="C624" s="1" t="str">
        <x:v>填空</x:v>
      </x:c>
      <x:c r="D624" s="1" t="str">
        <x:v>2025-二-07</x:v>
      </x:c>
    </x:row>
    <x:row r="625" ht="22" customHeight="1">
      <x:c r="A625" s="1" t="n">
        <x:v>2025</x:v>
      </x:c>
      <x:c r="B625" s="1" t="str">
        <x:v>A1</x:v>
      </x:c>
      <x:c r="C625" s="1" t="str">
        <x:v>填空</x:v>
      </x:c>
      <x:c r="D625" s="1" t="str">
        <x:v>2025-二-08</x:v>
      </x:c>
    </x:row>
    <x:row r="626" ht="22" customHeight="1">
      <x:c r="A626" s="1" t="n">
        <x:v>2025</x:v>
      </x:c>
      <x:c r="B626" s="1" t="str">
        <x:v>A5</x:v>
      </x:c>
      <x:c r="C626" s="1" t="str">
        <x:v>填空</x:v>
      </x:c>
      <x:c r="D626" s="1" t="str">
        <x:v>2025-二-08</x:v>
      </x:c>
    </x:row>
    <x:row r="627" ht="22" customHeight="1">
      <x:c r="A627" s="1" t="n">
        <x:v>2025</x:v>
      </x:c>
      <x:c r="B627" s="1" t="str">
        <x:v>D5</x:v>
      </x:c>
      <x:c r="C627" s="1" t="str">
        <x:v>简答</x:v>
      </x:c>
      <x:c r="D627" s="1" t="str">
        <x:v>2025-三-01</x:v>
      </x:c>
    </x:row>
    <x:row r="628" ht="22" customHeight="1">
      <x:c r="A628" s="1" t="n">
        <x:v>2025</x:v>
      </x:c>
      <x:c r="B628" s="1" t="str">
        <x:v>D2</x:v>
      </x:c>
      <x:c r="C628" s="1" t="str">
        <x:v>简答</x:v>
      </x:c>
      <x:c r="D628" s="1" t="str">
        <x:v>2025-三-01</x:v>
      </x:c>
    </x:row>
    <x:row r="629" ht="22" customHeight="1">
      <x:c r="A629" s="1" t="n">
        <x:v>2025</x:v>
      </x:c>
      <x:c r="B629" s="1" t="str">
        <x:v>P2</x:v>
      </x:c>
      <x:c r="C629" s="1" t="str">
        <x:v>简答</x:v>
      </x:c>
      <x:c r="D629" s="1" t="str">
        <x:v>2025-三-02</x:v>
      </x:c>
    </x:row>
    <x:row r="630" ht="22" customHeight="1">
      <x:c r="A630" s="1" t="n">
        <x:v>2025</x:v>
      </x:c>
      <x:c r="B630" s="1" t="str">
        <x:v>X1</x:v>
      </x:c>
      <x:c r="C630" s="1" t="str">
        <x:v>简答</x:v>
      </x:c>
      <x:c r="D630" s="1" t="str">
        <x:v>2025-三-03</x:v>
      </x:c>
    </x:row>
    <x:row r="631" ht="22" customHeight="1">
      <x:c r="A631" s="1" t="n">
        <x:v>2025</x:v>
      </x:c>
      <x:c r="B631" s="1" t="str">
        <x:v>P1</x:v>
      </x:c>
      <x:c r="C631" s="1" t="str">
        <x:v>计算</x:v>
      </x:c>
      <x:c r="D631" s="1" t="str">
        <x:v>2025-四</x:v>
      </x:c>
    </x:row>
    <x:row r="632" ht="22" customHeight="1">
      <x:c r="A632" s="1" t="n">
        <x:v>2025</x:v>
      </x:c>
      <x:c r="B632" s="1" t="str">
        <x:v>F2</x:v>
      </x:c>
      <x:c r="C632" s="1" t="str">
        <x:v>计算</x:v>
      </x:c>
      <x:c r="D632" s="1" t="str">
        <x:v>2025-四</x:v>
      </x:c>
    </x:row>
    <x:row r="633" ht="22" customHeight="1">
      <x:c r="A633" s="1" t="n">
        <x:v>2025</x:v>
      </x:c>
      <x:c r="B633" s="1" t="str">
        <x:v>F3</x:v>
      </x:c>
      <x:c r="C633" s="1" t="str">
        <x:v>计算</x:v>
      </x:c>
      <x:c r="D633" s="1" t="str">
        <x:v>2025-四</x:v>
      </x:c>
    </x:row>
    <x:row r="634" ht="22" customHeight="1">
      <x:c r="A634" s="1" t="n">
        <x:v>2025</x:v>
      </x:c>
      <x:c r="B634" s="1" t="str">
        <x:v>F1</x:v>
      </x:c>
      <x:c r="C634" s="1" t="str">
        <x:v>计算</x:v>
      </x:c>
      <x:c r="D634" s="1" t="str">
        <x:v>2025-四</x:v>
      </x:c>
    </x:row>
    <x:row r="635" ht="22" customHeight="1">
      <x:c r="A635" s="1" t="n">
        <x:v>2025</x:v>
      </x:c>
      <x:c r="B635" s="1" t="str">
        <x:v>S4</x:v>
      </x:c>
      <x:c r="C635" s="1" t="str">
        <x:v>计算</x:v>
      </x:c>
      <x:c r="D635" s="1" t="str">
        <x:v>2025-五</x:v>
      </x:c>
    </x:row>
    <x:row r="636" ht="22" customHeight="1">
      <x:c r="A636" s="1" t="n">
        <x:v>2025</x:v>
      </x:c>
      <x:c r="B636" s="1" t="str">
        <x:v>S3</x:v>
      </x:c>
      <x:c r="C636" s="1" t="str">
        <x:v>计算</x:v>
      </x:c>
      <x:c r="D636" s="1" t="str">
        <x:v>2025-五</x:v>
      </x:c>
    </x:row>
    <x:row r="637" ht="22" customHeight="1">
      <x:c r="A637" s="1" t="n">
        <x:v>2025</x:v>
      </x:c>
      <x:c r="B637" s="1" t="str">
        <x:v>A4</x:v>
      </x:c>
      <x:c r="C637" s="1" t="str">
        <x:v>计算</x:v>
      </x:c>
      <x:c r="D637" s="1" t="str">
        <x:v>2025-六</x:v>
      </x:c>
    </x:row>
    <x:row r="638" ht="22" customHeight="1">
      <x:c r="A638" s="1" t="n">
        <x:v>2025</x:v>
      </x:c>
      <x:c r="B638" s="1" t="str">
        <x:v>A3</x:v>
      </x:c>
      <x:c r="C638" s="1" t="str">
        <x:v>计算</x:v>
      </x:c>
      <x:c r="D638" s="1" t="str">
        <x:v>2025-六</x:v>
      </x:c>
    </x:row>
    <x:row r="639" ht="22" customHeight="1">
      <x:c r="A639" s="1" t="n">
        <x:v>2025</x:v>
      </x:c>
      <x:c r="B639" s="1" t="str">
        <x:v>A5</x:v>
      </x:c>
      <x:c r="C639" s="1" t="str">
        <x:v>计算</x:v>
      </x:c>
      <x:c r="D639" s="1" t="str">
        <x:v>2025-六</x:v>
      </x:c>
    </x:row>
    <x:row r="640" ht="22" customHeight="1">
      <x:c r="A640" s="1" t="n">
        <x:v>2025</x:v>
      </x:c>
      <x:c r="B640" s="1" t="str">
        <x:v>D2</x:v>
      </x:c>
      <x:c r="C640" s="1" t="str">
        <x:v>计算</x:v>
      </x:c>
      <x:c r="D640" s="1" t="str">
        <x:v>2025-七</x:v>
      </x:c>
    </x:row>
    <x:row r="641" ht="22" customHeight="1">
      <x:c r="A641" s="1" t="n">
        <x:v>2025</x:v>
      </x:c>
      <x:c r="B641" s="1" t="str">
        <x:v>D4</x:v>
      </x:c>
      <x:c r="C641" s="1" t="str">
        <x:v>计算</x:v>
      </x:c>
      <x:c r="D641" s="1" t="str">
        <x:v>2025-七</x:v>
      </x:c>
    </x:row>
    <x:row r="642" ht="22" customHeight="1">
      <x:c r="A642" s="1" t="n">
        <x:v>2025</x:v>
      </x:c>
      <x:c r="B642" s="1" t="str">
        <x:v>D1</x:v>
      </x:c>
      <x:c r="C642" s="1" t="str">
        <x:v>计算</x:v>
      </x:c>
      <x:c r="D642" s="1" t="str">
        <x:v>2025-七</x:v>
      </x:c>
    </x:row>
    <x:row r="643" ht="22" customHeight="1">
      <x:c r="A643" s="1" t="n">
        <x:v>2025</x:v>
      </x:c>
      <x:c r="B643" s="1" t="str">
        <x:v>H4</x:v>
      </x:c>
      <x:c r="C643" s="1" t="str">
        <x:v>计算</x:v>
      </x:c>
      <x:c r="D643" s="1" t="str">
        <x:v>2025-八</x:v>
      </x:c>
    </x:row>
    <x:row r="644" ht="22" customHeight="1">
      <x:c r="A644" s="1" t="n">
        <x:v>2025</x:v>
      </x:c>
      <x:c r="B644" s="1" t="str">
        <x:v>H3</x:v>
      </x:c>
      <x:c r="C644" s="1" t="str">
        <x:v>计算</x:v>
      </x:c>
      <x:c r="D644" s="1" t="str">
        <x:v>2025-八</x:v>
      </x:c>
    </x:row>
  </x:sheetData>
  <x:conditionalFormatting sqref="C7:S40">
    <x:cfRule type="colorScale" priority="1">
      <x:colorScale>
        <x:cfvo type="min"/>
        <x:cfvo type="percentile" val="50"/>
        <x:cfvo type="max"/>
        <x:color rgb="FFF5F7F9"/>
        <x:color rgb="FFB6D8DF"/>
        <x:color rgb="FF258591"/>
      </x:colorScale>
    </x:cfRule>
  </x:conditionalFormatting>
  <x:conditionalFormatting sqref="T7:X40">
    <x:cfRule type="cellIs" dxfId="0" priority="2" operator="greaterThan">
      <x:formula>0</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7.75" hidden="0" customWidth="1"/>
    <x:col min="2" max="2" width="30.6299991607666" hidden="0" customWidth="1"/>
    <x:col min="3" max="3" width="8.130000114440918" hidden="0" customWidth="1"/>
    <x:col min="4" max="4" width="10" hidden="0" customWidth="1"/>
    <x:col min="5" max="5" width="31.8799991607666" hidden="0" customWidth="1"/>
    <x:col min="6" max="6" width="18.75" hidden="0" customWidth="1"/>
    <x:col min="7" max="7" width="62.5" hidden="0" customWidth="1"/>
    <x:col min="8" max="8" width="9.380000114440918" hidden="0" customWidth="1"/>
    <x:col min="9" max="9" width="10" hidden="0" customWidth="1"/>
    <x:col min="10" max="10" width="25" hidden="0" customWidth="1"/>
    <x:col min="11" max="11" width="43.75" hidden="0" customWidth="1"/>
  </x:cols>
  <x:sheetData>
    <x:row r="1" ht="23" customHeight="1">
      <x:c r="A1" s="2"/>
      <x:c r="B1" s="2"/>
      <x:c r="C1" s="2"/>
      <x:c r="D1" s="2"/>
      <x:c r="E1" s="2"/>
      <x:c r="F1" s="2"/>
      <x:c r="G1" s="2"/>
      <x:c r="H1" s="2"/>
      <x:c r="I1" s="2"/>
      <x:c r="J1" s="2"/>
      <x:c r="K1" s="2"/>
    </x:row>
    <x:row r="2" ht="28" customHeight="1">
      <x:c r="A2" s="3" t="str">
        <x:v>逐题知识点索引</x:v>
      </x:c>
      <x:c r="B2" s="2"/>
      <x:c r="C2" s="2"/>
      <x:c r="D2" s="2"/>
      <x:c r="E2" s="2"/>
      <x:c r="F2" s="2"/>
      <x:c r="G2" s="2"/>
      <x:c r="H2" s="2"/>
      <x:c r="I2" s="2"/>
      <x:c r="J2" s="2"/>
      <x:c r="K2" s="2"/>
    </x:row>
    <x:row r="3" ht="23" customHeight="1">
      <x:c r="A3" s="37" t="str">
        <x:v>每行是一道原编号题，计算题小问合并；关联代码用于统计，题干为扫描摘录。</x:v>
      </x:c>
      <x:c r="B3" s="2"/>
      <x:c r="C3" s="2"/>
      <x:c r="D3" s="2"/>
      <x:c r="E3" s="2"/>
      <x:c r="F3" s="2"/>
      <x:c r="G3" s="2"/>
      <x:c r="H3" s="2"/>
      <x:c r="I3" s="2"/>
      <x:c r="J3" s="2"/>
      <x:c r="K3" s="2"/>
    </x:row>
    <x:row r="4" ht="23" customHeight="1">
      <x:c r="A4" s="37" t="str">
        <x:v>按年份、题型或主考点筛选；来源编号与原文件名见“资料口径”，页码为PDF查看器页码。</x:v>
      </x:c>
      <x:c r="B4" s="2"/>
      <x:c r="C4" s="2"/>
      <x:c r="D4" s="2"/>
      <x:c r="E4" s="2"/>
      <x:c r="F4" s="2"/>
      <x:c r="G4" s="2"/>
      <x:c r="H4" s="2"/>
      <x:c r="I4" s="2"/>
      <x:c r="J4" s="2"/>
      <x:c r="K4" s="2"/>
    </x:row>
    <x:row r="5" ht="32" customHeight="1">
      <x:c r="A5" s="12" t="str">
        <x:v>年份</x:v>
      </x:c>
      <x:c r="B5" s="13" t="str">
        <x:v>原题定位</x:v>
      </x:c>
      <x:c r="C5" s="13" t="str">
        <x:v>题型</x:v>
      </x:c>
      <x:c r="D5" s="13" t="str">
        <x:v>可见分值</x:v>
      </x:c>
      <x:c r="E5" s="13" t="str">
        <x:v>主考点</x:v>
      </x:c>
      <x:c r="F5" s="13" t="str">
        <x:v>关联知识点代码</x:v>
      </x:c>
      <x:c r="G5" s="13" t="str">
        <x:v>题干摘录</x:v>
      </x:c>
      <x:c r="H5" s="13" t="str">
        <x:v>来源编号</x:v>
      </x:c>
      <x:c r="I5" s="13" t="str">
        <x:v>PDF页码</x:v>
      </x:c>
      <x:c r="J5" s="13" t="str">
        <x:v>资料性质</x:v>
      </x:c>
      <x:c r="K5" s="14" t="str">
        <x:v>核对提示</x:v>
      </x:c>
    </x:row>
    <x:row r="6" ht="66" customHeight="1">
      <x:c r="A6" s="18" t="n">
        <x:v>1999</x:v>
      </x:c>
      <x:c r="B6" s="19" t="str">
        <x:v>1999年 一、填空第1题</x:v>
      </x:c>
      <x:c r="C6" s="19" t="str">
        <x:v>填空</x:v>
      </x:c>
      <x:c r="D6" s="20"/>
      <x:c r="E6" s="15" t="str">
        <x:v>黏性、Re、流型与管路阻力</x:v>
      </x:c>
      <x:c r="F6" s="15" t="str">
        <x:v>|F3|</x:v>
      </x:c>
      <x:c r="G6" s="21" t="str">
        <x:v>牛顿粘性定律的表达式为 牛顿粘性定律适用于 型流体。</x:v>
      </x:c>
      <x:c r="H6" s="15" t="str">
        <x:v>A</x:v>
      </x:c>
      <x:c r="I6" s="15" t="str">
        <x:v>1</x:v>
      </x:c>
      <x:c r="J6" s="15" t="str">
        <x:v>汇编题卷（未核实官方原卷）</x:v>
      </x:c>
      <x:c r="K6" s="22" t="str">
        <x:v>扫描题干摘录，公式与数值做题前核对原PDF。</x:v>
      </x:c>
    </x:row>
    <x:row r="7" ht="66" customHeight="1">
      <x:c r="A7" s="18" t="n">
        <x:v>1999</x:v>
      </x:c>
      <x:c r="B7" s="19" t="str">
        <x:v>1999年 一、填空第2题</x:v>
      </x:c>
      <x:c r="C7" s="19" t="str">
        <x:v>填空</x:v>
      </x:c>
      <x:c r="D7" s="20"/>
      <x:c r="E7" s="15" t="str">
        <x:v>测速管、孔板与转子流量计</x:v>
      </x:c>
      <x:c r="F7" s="15" t="str">
        <x:v>|F5|</x:v>
      </x:c>
      <x:c r="G7" s="21" t="str">
        <x:v>一转子流量计，当流过水的流量为m》"时，测定该流量计进出口压力降为 20mmHg柱，当流量增加到1.5m²问转子流量计进出口压降有何变化？</x:v>
      </x:c>
      <x:c r="H7" s="15" t="str">
        <x:v>A</x:v>
      </x:c>
      <x:c r="I7" s="15" t="str">
        <x:v>1</x:v>
      </x:c>
      <x:c r="J7" s="15" t="str">
        <x:v>汇编题卷（未核实官方原卷）</x:v>
      </x:c>
      <x:c r="K7" s="22" t="str">
        <x:v>扫描题干摘录，公式与数值做题前核对原PDF。</x:v>
      </x:c>
    </x:row>
    <x:row r="8" ht="66" customHeight="1">
      <x:c r="A8" s="18" t="n">
        <x:v>1999</x:v>
      </x:c>
      <x:c r="B8" s="19" t="str">
        <x:v>1999年 一、填空第3题</x:v>
      </x:c>
      <x:c r="C8" s="19" t="str">
        <x:v>填空</x:v>
      </x:c>
      <x:c r="D8" s="20"/>
      <x:c r="E8" s="15" t="str">
        <x:v>床层压降、流化状态与异常</x:v>
      </x:c>
      <x:c r="F8" s="15" t="str">
        <x:v>|B1|</x:v>
      </x:c>
      <x:c r="G8" s="21" t="str">
        <x:v>一般认为流化床正常操作的流速范围在 和 之间。</x:v>
      </x:c>
      <x:c r="H8" s="15" t="str">
        <x:v>A</x:v>
      </x:c>
      <x:c r="I8" s="15" t="str">
        <x:v>1</x:v>
      </x:c>
      <x:c r="J8" s="15" t="str">
        <x:v>汇编题卷（未核实官方原卷）</x:v>
      </x:c>
      <x:c r="K8" s="22" t="str">
        <x:v>扫描题干摘录，公式与数值做题前核对原PDF。</x:v>
      </x:c>
    </x:row>
    <x:row r="9" ht="66" customHeight="1">
      <x:c r="A9" s="18" t="n">
        <x:v>1999</x:v>
      </x:c>
      <x:c r="B9" s="19" t="str">
        <x:v>1999年 一、填空第4题</x:v>
      </x:c>
      <x:c r="C9" s="19" t="str">
        <x:v>填空</x:v>
      </x:c>
      <x:c r="D9" s="20"/>
      <x:c r="E9" s="15" t="str">
        <x:v>压缩机、结晶等历史内容</x:v>
      </x:c>
      <x:c r="F9" s="15" t="str">
        <x:v>|O3|</x:v>
      </x:c>
      <x:c r="G9" s="21" t="str">
        <x:v>往复压缩机的一个工作循环色括 四个过程。</x:v>
      </x:c>
      <x:c r="H9" s="15" t="str">
        <x:v>A</x:v>
      </x:c>
      <x:c r="I9" s="15" t="str">
        <x:v>1</x:v>
      </x:c>
      <x:c r="J9" s="15" t="str">
        <x:v>汇编题卷（未核实官方原卷）</x:v>
      </x:c>
      <x:c r="K9" s="22" t="str">
        <x:v>扫描题干摘录，公式与数值做题前核对原PDF。</x:v>
      </x:c>
    </x:row>
    <x:row r="10" ht="66" customHeight="1">
      <x:c r="A10" s="18" t="n">
        <x:v>1999</x:v>
      </x:c>
      <x:c r="B10" s="19" t="str">
        <x:v>1999年 一、填空第5题</x:v>
      </x:c>
      <x:c r="C10" s="19" t="str">
        <x:v>填空</x:v>
      </x:c>
      <x:c r="D10" s="20"/>
      <x:c r="E10" s="15" t="str">
        <x:v>热辐射</x:v>
      </x:c>
      <x:c r="F10" s="15" t="str">
        <x:v>|O1|</x:v>
      </x:c>
      <x:c r="G10" s="21" t="str">
        <x:v>*某物体（可近似为参体)在20℃时，其黑度ε=0.8，则其辐射能力的大小为 其吸收率为</x:v>
      </x:c>
      <x:c r="H10" s="15" t="str">
        <x:v>A</x:v>
      </x:c>
      <x:c r="I10" s="15" t="str">
        <x:v>1</x:v>
      </x:c>
      <x:c r="J10" s="15" t="str">
        <x:v>汇编题卷（未核实官方原卷）</x:v>
      </x:c>
      <x:c r="K10" s="22" t="str">
        <x:v>扫描题干摘录，公式与数值做题前核对原PDF。</x:v>
      </x:c>
    </x:row>
    <x:row r="11" ht="66" customHeight="1">
      <x:c r="A11" s="18" t="n">
        <x:v>1999</x:v>
      </x:c>
      <x:c r="B11" s="19" t="str">
        <x:v>1999年 一、填空第6题</x:v>
      </x:c>
      <x:c r="C11" s="19" t="str">
        <x:v>填空</x:v>
      </x:c>
      <x:c r="D11" s="20"/>
      <x:c r="E11" s="15" t="str">
        <x:v>选择性、分配系数与单级萃取</x:v>
      </x:c>
      <x:c r="F11" s="15" t="str">
        <x:v>|X1|</x:v>
      </x:c>
      <x:c r="G11" s="21" t="str">
        <x:v>用溶剂S 萃取分离A+B 混合物，二相平衡时萃取相中yA=0.2，ys=0.7；萃取相中 xA=0.15，x=0.05，则选择性系数β的表达式为 ，其数值等于</x:v>
      </x:c>
      <x:c r="H11" s="15" t="str">
        <x:v>A</x:v>
      </x:c>
      <x:c r="I11" s="15" t="str">
        <x:v>1</x:v>
      </x:c>
      <x:c r="J11" s="15" t="str">
        <x:v>汇编题卷（未核实官方原卷）</x:v>
      </x:c>
      <x:c r="K11" s="22" t="str">
        <x:v>扫描题干摘录，公式与数值做题前核对原PDF。</x:v>
      </x:c>
    </x:row>
    <x:row r="12" ht="66" customHeight="1">
      <x:c r="A12" s="18" t="n">
        <x:v>1999</x:v>
      </x:c>
      <x:c r="B12" s="19" t="str">
        <x:v>1999年 一、填空第7题</x:v>
      </x:c>
      <x:c r="C12" s="19" t="str">
        <x:v>填空</x:v>
      </x:c>
      <x:c r="D12" s="20"/>
      <x:c r="E12" s="15" t="str">
        <x:v>分子扩散、费克定律与总体流动</x:v>
      </x:c>
      <x:c r="F12" s="15" t="str">
        <x:v>|M1|</x:v>
      </x:c>
      <x:c r="G12" s="21" t="str">
        <x:v>在描述分子的扩散费克定律中，扩散通量』也与 成正比，其比例系数称为 系数；涡流传质也采用费克定律的方程形式，扩散通量』也与 成正 比，但相应的系数称为 系数。</x:v>
      </x:c>
      <x:c r="H12" s="15" t="str">
        <x:v>A</x:v>
      </x:c>
      <x:c r="I12" s="15" t="str">
        <x:v>1</x:v>
      </x:c>
      <x:c r="J12" s="15" t="str">
        <x:v>汇编题卷（未核实官方原卷）</x:v>
      </x:c>
      <x:c r="K12" s="22" t="str">
        <x:v>扫描题干摘录，公式与数值做题前核对原PDF。</x:v>
      </x:c>
    </x:row>
    <x:row r="13" ht="66" customHeight="1">
      <x:c r="A13" s="18" t="n">
        <x:v>1999</x:v>
      </x:c>
      <x:c r="B13" s="19" t="str">
        <x:v>1999年 一、填空第8题</x:v>
      </x:c>
      <x:c r="C13" s="19" t="str">
        <x:v>填空</x:v>
      </x:c>
      <x:c r="D13" s="20"/>
      <x:c r="E13" s="15" t="str">
        <x:v>物料衡算、操作线与最小液气比</x:v>
      </x:c>
      <x:c r="F13" s="15" t="str">
        <x:v>|A3|A1|A5|</x:v>
      </x:c>
      <x:c r="G13" s="21" t="str">
        <x:v>气体吸收过程的逆过程是 ，前者操作的温度一般较后者 ，而压力较后 者 _，吸收因子A表征 线和 线斜率的比值。</x:v>
      </x:c>
      <x:c r="H13" s="15" t="str">
        <x:v>A</x:v>
      </x:c>
      <x:c r="I13" s="15" t="str">
        <x:v>1</x:v>
      </x:c>
      <x:c r="J13" s="15" t="str">
        <x:v>汇编题卷（未核实官方原卷）</x:v>
      </x:c>
      <x:c r="K13" s="22" t="str">
        <x:v>扫描题干摘录，公式与数值做题前核对原PDF。</x:v>
      </x:c>
    </x:row>
    <x:row r="14" ht="66" customHeight="1">
      <x:c r="A14" s="18" t="n">
        <x:v>1999</x:v>
      </x:c>
      <x:c r="B14" s="19" t="str">
        <x:v>1999年 一、填空第9题</x:v>
      </x:c>
      <x:c r="C14" s="19" t="str">
        <x:v>填空</x:v>
      </x:c>
      <x:c r="D14" s="20"/>
      <x:c r="E14" s="15" t="str">
        <x:v>简单、间歇与特殊蒸馏</x:v>
      </x:c>
      <x:c r="F14" s="15" t="str">
        <x:v>|D5|</x:v>
      </x:c>
      <x:c r="G14" s="21" t="str">
        <x:v>萃取蒸馏是在体系中加入 剂来改善体系的 。一般 剂的加入浓度越 大， 变化越</x:v>
      </x:c>
      <x:c r="H14" s="15" t="str">
        <x:v>A</x:v>
      </x:c>
      <x:c r="I14" s="15" t="str">
        <x:v>1</x:v>
      </x:c>
      <x:c r="J14" s="15" t="str">
        <x:v>汇编题卷（未核实官方原卷）</x:v>
      </x:c>
      <x:c r="K14" s="22" t="str">
        <x:v>扫描题干摘录，公式与数值做题前核对原PDF。</x:v>
      </x:c>
    </x:row>
    <x:row r="15" ht="66" customHeight="1">
      <x:c r="A15" s="18" t="n">
        <x:v>1999</x:v>
      </x:c>
      <x:c r="B15" s="19" t="str">
        <x:v>1999年 二、计算</x:v>
      </x:c>
      <x:c r="C15" s="19" t="str">
        <x:v>计算</x:v>
      </x:c>
      <x:c r="D15" s="20" t="n">
        <x:v>18</x:v>
      </x:c>
      <x:c r="E15" s="15" t="str">
        <x:v>泵特性、工作点、调节与功率</x:v>
      </x:c>
      <x:c r="F15" s="15" t="str">
        <x:v>|P1|F2|F1|</x:v>
      </x:c>
      <x:c r="G15" s="21" t="str">
        <x:v>如图所示，用清水泵将池A中水打到高位B中，泵的特性曲线可用H=25-0.004Q2 表达，式中Q的单位为m?/h，吸入管路的阻力损失为4m水柱，泵出口处装有压力 表，泵的阻力损失可忽略。管路为①57x3.5mm钢管。管路C处装有一个调节阀，调 节阀在某一开度时的阻力系数=60，两U形管压差计读数Ri=800m，R2=700m，指 示液为CCl4（密度po=1600kg/m²）,连通管指示液面上充满水,水的密度p=1000kg/m²， 求： (1) 管路中水的流量为多少？（单台泵） (2) 泵出口处压力表读数为多少？（单台泵） (3) 并联一台相同型号离心泵，写出并联后泵的特持性曲线方程 （4）若联后管路特性曲线方程L=13.5+0.</x:v>
      </x:c>
      <x:c r="H15" s="15" t="str">
        <x:v>A</x:v>
      </x:c>
      <x:c r="I15" s="15" t="str">
        <x:v>1、2</x:v>
      </x:c>
      <x:c r="J15" s="15" t="str">
        <x:v>汇编题卷（未核实官方原卷）</x:v>
      </x:c>
      <x:c r="K15" s="22" t="str">
        <x:v>扫描题干摘录，公式与数值做题前核对原PDF。</x:v>
      </x:c>
    </x:row>
    <x:row r="16" ht="66" customHeight="1">
      <x:c r="A16" s="18" t="n">
        <x:v>1999</x:v>
      </x:c>
      <x:c r="B16" s="19" t="str">
        <x:v>1999年 三、计算</x:v>
      </x:c>
      <x:c r="C16" s="19" t="str">
        <x:v>计算</x:v>
      </x:c>
      <x:c r="D16" s="20" t="n">
        <x:v>7</x:v>
      </x:c>
      <x:c r="E16" s="15" t="str">
        <x:v>过滤方程与过滤常数</x:v>
      </x:c>
      <x:c r="F16" s="15" t="str">
        <x:v>|S3|S4|</x:v>
      </x:c>
      <x:c r="G16" s="21" t="str">
        <x:v>某愚浮液在一台过滤面积为0.4m²的板框过滤机中进行恒压过滤，2小时后的滤 液35m\若滤饼不可压缩，过滤介质阻力忽略不计，求： （1）其他情况不变，过滤1.5小时所得的滤液量。 （2）其他情况不变，过滤2小时后用4m²水对滤饼进行横穿洗涤，洗涤所需时间。</x:v>
      </x:c>
      <x:c r="H16" s="15" t="str">
        <x:v>A</x:v>
      </x:c>
      <x:c r="I16" s="15" t="str">
        <x:v>2</x:v>
      </x:c>
      <x:c r="J16" s="15" t="str">
        <x:v>汇编题卷（未核实官方原卷）</x:v>
      </x:c>
      <x:c r="K16" s="22" t="str">
        <x:v>扫描题干摘录，公式与数值做题前核对原PDF。</x:v>
      </x:c>
    </x:row>
    <x:row r="17" ht="66" customHeight="1">
      <x:c r="A17" s="18" t="n">
        <x:v>1999</x:v>
      </x:c>
      <x:c r="B17" s="19" t="str">
        <x:v>1999年 四、计算</x:v>
      </x:c>
      <x:c r="C17" s="19" t="str">
        <x:v>计算</x:v>
      </x:c>
      <x:c r="D17" s="20" t="n">
        <x:v>17</x:v>
      </x:c>
      <x:c r="E17" s="15" t="str">
        <x:v>换热器设计、校核与操作计算</x:v>
      </x:c>
      <x:c r="F17" s="15" t="str">
        <x:v>|H4|H2|H3|</x:v>
      </x:c>
      <x:c r="G17" s="21" t="str">
        <x:v>有一单程列管式换热器，装有Φ25x2.5mm钢管300根，管长为2m。要求将质 量为7600kg/h的常压空气于管程由20C加热到80℃，选用108C饱和蒸汽于壳程冷 凝加热之。若水蒸汽的冷凝传热系数为1x104W/m2·K，管壁及两侧污垢的热阻均可 忽略不计，且不计热损失。己知空气在平均温度下的物性常数为Cp=1.005kJ/kg·K, 入=2.83×10-2W/m·K, μ=1.96x10-$Pa·S。 试求： (1) 空气在管内的对流给热系数； (2) 求换热器的总传热系数（以管子外表面积为基准）： (3) 通过计算说明该换热器能否满足需要？ （4）计算说明管壁温度接近哪一侧的流体温度。 （湍流时a=0.023（V/d）Re0</x:v>
      </x:c>
      <x:c r="H17" s="15" t="str">
        <x:v>A</x:v>
      </x:c>
      <x:c r="I17" s="15" t="str">
        <x:v>2、3</x:v>
      </x:c>
      <x:c r="J17" s="15" t="str">
        <x:v>汇编题卷（未核实官方原卷）</x:v>
      </x:c>
      <x:c r="K17" s="22" t="str">
        <x:v>扫描题干摘录，公式与数值做题前核对原PDF。</x:v>
      </x:c>
    </x:row>
    <x:row r="18" ht="66" customHeight="1">
      <x:c r="A18" s="18" t="n">
        <x:v>1999</x:v>
      </x:c>
      <x:c r="B18" s="19" t="str">
        <x:v>1999年 五、计算</x:v>
      </x:c>
      <x:c r="C18" s="19" t="str">
        <x:v>计算</x:v>
      </x:c>
      <x:c r="D18" s="20" t="n">
        <x:v>13</x:v>
      </x:c>
      <x:c r="E18" s="15" t="str">
        <x:v>传质单元、填料高度与理论级</x:v>
      </x:c>
      <x:c r="F18" s="15" t="str">
        <x:v>|A4|A3|A5|</x:v>
      </x:c>
      <x:c r="G18" s="21" t="str">
        <x:v>在一内装6块理论板的逆流吸收塔中，用煤油为溶剂吸收混合气中的CCl4，气 体中CCl4的初始浓度为0.06（摩尔分率，下同)，入塔煤油的CCl4浓度为0.001，在 操作条件下相平衡关系为y*=0.5x，液气比L/G=0.8 （1）该塔CCl4的吸收率； （2）由于溶剂再生系统换热器的操作问题，使得溶剂未冷却到规定的温度，入吸收 塔煤油的温度升高，导致相平衡关系变为y0.8x，若仍维持在原液气比下操作，试 计算CCl4吸收率的变化。</x:v>
      </x:c>
      <x:c r="H18" s="15" t="str">
        <x:v>A</x:v>
      </x:c>
      <x:c r="I18" s="15" t="str">
        <x:v>3</x:v>
      </x:c>
      <x:c r="J18" s="15" t="str">
        <x:v>汇编题卷（未核实官方原卷）</x:v>
      </x:c>
      <x:c r="K18" s="22" t="str">
        <x:v>扫描题干摘录，公式与数值做题前核对原PDF。</x:v>
      </x:c>
    </x:row>
    <x:row r="19" ht="66" customHeight="1">
      <x:c r="A19" s="18" t="n">
        <x:v>1999</x:v>
      </x:c>
      <x:c r="B19" s="19" t="str">
        <x:v>1999年 六、计算</x:v>
      </x:c>
      <x:c r="C19" s="19" t="str">
        <x:v>计算</x:v>
      </x:c>
      <x:c r="D19" s="20" t="n">
        <x:v>18</x:v>
      </x:c>
      <x:c r="E19" s="15" t="str">
        <x:v>精馏衡算、操作线与进料热状态</x:v>
      </x:c>
      <x:c r="F19" s="15" t="str">
        <x:v>|D2|D3|D1|</x:v>
      </x:c>
      <x:c r="G19" s="21" t="str">
        <x:v>某厂需分离乙苯（分杀量为106kg/kmol）/苯乙烯（分子量为104kg/kmol）二元 体系，拟建一座处理能为为16万吨/年的精馏塔（按年开工时间8000小时计算）。要 求该塔塔顶乙苯的回收率不小94%（摩尔分率，下同)，塔底苯乙烯的回收率不小 于95%，塔顶采用全凝器提供泡点回流，塔底有再沸器，R=1.2Rmin。在塔操作的温 度压力范匍内体系平均相对挥发度为1.45。考虑到苯乙烯组分易于聚合，全塔压降 不宜大，初步拟订该塔采用规整填料。填料制造商提供的规整填料HETP为0.4m。 Gilliland关联图可用下式表示： R-Rmin Y= N+1 R+1 （1）如果进料为乙苯的浓度为50%的泡点进料，见图（1)，试求： a.</x:v>
      </x:c>
      <x:c r="H19" s="15" t="str">
        <x:v>A</x:v>
      </x:c>
      <x:c r="I19" s="15" t="str">
        <x:v>3、4</x:v>
      </x:c>
      <x:c r="J19" s="15" t="str">
        <x:v>汇编题卷（未核实官方原卷）</x:v>
      </x:c>
      <x:c r="K19" s="22" t="str">
        <x:v>扫描题干摘录，公式与数值做题前核对原PDF。</x:v>
      </x:c>
    </x:row>
    <x:row r="20" ht="66" customHeight="1">
      <x:c r="A20" s="18" t="n">
        <x:v>2000</x:v>
      </x:c>
      <x:c r="B20" s="19" t="str">
        <x:v>2000年 一、填空第1题</x:v>
      </x:c>
      <x:c r="C20" s="19" t="str">
        <x:v>填空</x:v>
      </x:c>
      <x:c r="D20" s="20"/>
      <x:c r="E20" s="15" t="str">
        <x:v>黏性、Re、流型与管路阻力</x:v>
      </x:c>
      <x:c r="F20" s="15" t="str">
        <x:v>|F3|</x:v>
      </x:c>
      <x:c r="G20" s="21" t="str">
        <x:v>流体在管内作湍流流动时（不是阻力平方区），其摩擦系数入随 和而 变。</x:v>
      </x:c>
      <x:c r="H20" s="15" t="str">
        <x:v>A</x:v>
      </x:c>
      <x:c r="I20" s="15" t="str">
        <x:v>5</x:v>
      </x:c>
      <x:c r="J20" s="15" t="str">
        <x:v>汇编题卷（未核实官方原卷）</x:v>
      </x:c>
      <x:c r="K20" s="22" t="str">
        <x:v>扫描题干摘录，公式与数值做题前核对原PDF。</x:v>
      </x:c>
    </x:row>
    <x:row r="21" ht="66" customHeight="1">
      <x:c r="A21" s="18" t="n">
        <x:v>2000</x:v>
      </x:c>
      <x:c r="B21" s="19" t="str">
        <x:v>2000年 一、填空第2题</x:v>
      </x:c>
      <x:c r="C21" s="19" t="str">
        <x:v>填空</x:v>
      </x:c>
      <x:c r="D21" s="20"/>
      <x:c r="E21" s="15" t="str">
        <x:v>静力学、压力与U形压差计</x:v>
      </x:c>
      <x:c r="F21" s="15" t="str">
        <x:v>|F1|</x:v>
      </x:c>
      <x:c r="G21" s="21" t="str">
        <x:v>液柱压力计量是基于 原理的压装置，用U形管压差计测压时，当一端与大 气相通时，读数R表示的是</x:v>
      </x:c>
      <x:c r="H21" s="15" t="str">
        <x:v>A</x:v>
      </x:c>
      <x:c r="I21" s="15" t="str">
        <x:v>5</x:v>
      </x:c>
      <x:c r="J21" s="15" t="str">
        <x:v>汇编题卷（未核实官方原卷）</x:v>
      </x:c>
      <x:c r="K21" s="22" t="str">
        <x:v>扫描题干摘录，公式与数值做题前核对原PDF。</x:v>
      </x:c>
    </x:row>
    <x:row r="22" ht="66" customHeight="1">
      <x:c r="A22" s="18" t="n">
        <x:v>2000</x:v>
      </x:c>
      <x:c r="B22" s="19" t="str">
        <x:v>2000年 一、填空第3题</x:v>
      </x:c>
      <x:c r="C22" s="19" t="str">
        <x:v>填空</x:v>
      </x:c>
      <x:c r="D22" s="20"/>
      <x:c r="E22" s="15" t="str">
        <x:v>边界层与因次分析</x:v>
      </x:c>
      <x:c r="F22" s="15" t="str">
        <x:v>|F4|</x:v>
      </x:c>
      <x:c r="G22" s="21" t="str">
        <x:v>因次分析法的原则是</x:v>
      </x:c>
      <x:c r="H22" s="15" t="str">
        <x:v>A</x:v>
      </x:c>
      <x:c r="I22" s="15" t="str">
        <x:v>5</x:v>
      </x:c>
      <x:c r="J22" s="15" t="str">
        <x:v>汇编题卷（未核实官方原卷）</x:v>
      </x:c>
      <x:c r="K22" s="22" t="str">
        <x:v>扫描题干摘录，公式与数值做题前核对原PDF。</x:v>
      </x:c>
    </x:row>
    <x:row r="23" ht="66" customHeight="1">
      <x:c r="A23" s="18" t="n">
        <x:v>2000</x:v>
      </x:c>
      <x:c r="B23" s="19" t="str">
        <x:v>2000年 一、填空第4题</x:v>
      </x:c>
      <x:c r="C23" s="19" t="str">
        <x:v>填空</x:v>
      </x:c>
      <x:c r="D23" s="20"/>
      <x:c r="E23" s="15" t="str">
        <x:v>床层压降、流化状态与异常</x:v>
      </x:c>
      <x:c r="F23" s="15" t="str">
        <x:v>|B1|</x:v>
      </x:c>
      <x:c r="G23" s="21" t="str">
        <x:v>流化床中有两种不同的流化形式，即 和</x:v>
      </x:c>
      <x:c r="H23" s="15" t="str">
        <x:v>A</x:v>
      </x:c>
      <x:c r="I23" s="15" t="str">
        <x:v>5</x:v>
      </x:c>
      <x:c r="J23" s="15" t="str">
        <x:v>汇编题卷（未核实官方原卷）</x:v>
      </x:c>
      <x:c r="K23" s="22" t="str">
        <x:v>扫描题干摘录，公式与数值做题前核对原PDF。</x:v>
      </x:c>
    </x:row>
    <x:row r="24" ht="66" customHeight="1">
      <x:c r="A24" s="18" t="n">
        <x:v>2000</x:v>
      </x:c>
      <x:c r="B24" s="19" t="str">
        <x:v>2000年 一、填空第5题</x:v>
      </x:c>
      <x:c r="C24" s="19" t="str">
        <x:v>填空</x:v>
      </x:c>
      <x:c r="D24" s="20"/>
      <x:c r="E24" s="15" t="str">
        <x:v>热辐射</x:v>
      </x:c>
      <x:c r="F24" s="15" t="str">
        <x:v>|O1|</x:v>
      </x:c>
      <x:c r="G24" s="21" t="str">
        <x:v>*物体辐射能力的犬与 成正比，还与 成正比。</x:v>
      </x:c>
      <x:c r="H24" s="15" t="str">
        <x:v>A</x:v>
      </x:c>
      <x:c r="I24" s="15" t="str">
        <x:v>5</x:v>
      </x:c>
      <x:c r="J24" s="15" t="str">
        <x:v>汇编题卷（未核实官方原卷）</x:v>
      </x:c>
      <x:c r="K24" s="22" t="str">
        <x:v>扫描题干摘录，公式与数值做题前核对原PDF。</x:v>
      </x:c>
    </x:row>
    <x:row r="25" ht="66" customHeight="1">
      <x:c r="A25" s="18" t="n">
        <x:v>2000</x:v>
      </x:c>
      <x:c r="B25" s="19" t="str">
        <x:v>2000年 一、填空第6题</x:v>
      </x:c>
      <x:c r="C25" s="19" t="str">
        <x:v>填空</x:v>
      </x:c>
      <x:c r="D25" s="20"/>
      <x:c r="E25" s="15" t="str">
        <x:v>颗粒粒径、沉降与降尘室</x:v>
      </x:c>
      <x:c r="F25" s="15" t="str">
        <x:v>|S1|</x:v>
      </x:c>
      <x:c r="G25" s="21" t="str">
        <x:v>一球形石英颗粒，在空气中按斯托克斯定律沉降，若空气温度由20℃升至50℃， 则其沉降速度将</x:v>
      </x:c>
      <x:c r="H25" s="15" t="str">
        <x:v>A</x:v>
      </x:c>
      <x:c r="I25" s="15" t="str">
        <x:v>5</x:v>
      </x:c>
      <x:c r="J25" s="15" t="str">
        <x:v>汇编题卷（未核实官方原卷）</x:v>
      </x:c>
      <x:c r="K25" s="22" t="str">
        <x:v>扫描题干摘录，公式与数值做题前核对原PDF。</x:v>
      </x:c>
    </x:row>
    <x:row r="26" ht="66" customHeight="1">
      <x:c r="A26" s="18" t="n">
        <x:v>2000</x:v>
      </x:c>
      <x:c r="B26" s="19" t="str">
        <x:v>2000年 一、填空第7题</x:v>
      </x:c>
      <x:c r="C26" s="19" t="str">
        <x:v>填空</x:v>
      </x:c>
      <x:c r="D26" s="20"/>
      <x:c r="E26" s="15" t="str">
        <x:v>旋风分离器与离心分离</x:v>
      </x:c>
      <x:c r="F26" s="15" t="str">
        <x:v>|S2|</x:v>
      </x:c>
      <x:c r="G26" s="21" t="str">
        <x:v>已知旋风分离器的平均旋转半径为0.5m，气体的切向进口速度为20m/s，那么该 分离器 分离因数为</x:v>
      </x:c>
      <x:c r="H26" s="15" t="str">
        <x:v>A</x:v>
      </x:c>
      <x:c r="I26" s="15" t="str">
        <x:v>5</x:v>
      </x:c>
      <x:c r="J26" s="15" t="str">
        <x:v>汇编题卷（未核实官方原卷）</x:v>
      </x:c>
      <x:c r="K26" s="22" t="str">
        <x:v>扫描题干摘录，公式与数值做题前核对原PDF。</x:v>
      </x:c>
    </x:row>
    <x:row r="27" ht="66" customHeight="1">
      <x:c r="A27" s="18" t="n">
        <x:v>2000</x:v>
      </x:c>
      <x:c r="B27" s="19" t="str">
        <x:v>2000年 一、填空第8题</x:v>
      </x:c>
      <x:c r="C27" s="19" t="str">
        <x:v>填空</x:v>
      </x:c>
      <x:c r="D27" s="20"/>
      <x:c r="E27" s="15" t="str">
        <x:v>导热、保温与临界直径</x:v>
      </x:c>
      <x:c r="F27" s="15" t="str">
        <x:v>|H1|</x:v>
      </x:c>
      <x:c r="G27" s="21" t="str">
        <x:v>一包有石棉泥保温层的蒸汽管道，当石棉泥受潮后，其保温效果将 ，其主要 原因是</x:v>
      </x:c>
      <x:c r="H27" s="15" t="str">
        <x:v>A</x:v>
      </x:c>
      <x:c r="I27" s="15" t="str">
        <x:v>5</x:v>
      </x:c>
      <x:c r="J27" s="15" t="str">
        <x:v>汇编题卷（未核实官方原卷）</x:v>
      </x:c>
      <x:c r="K27" s="22" t="str">
        <x:v>扫描题干摘录，公式与数值做题前核对原PDF。</x:v>
      </x:c>
    </x:row>
    <x:row r="28" ht="66" customHeight="1">
      <x:c r="A28" s="18" t="n">
        <x:v>2000</x:v>
      </x:c>
      <x:c r="B28" s="19" t="str">
        <x:v>2000年 一、填空第9题</x:v>
      </x:c>
      <x:c r="C28" s="19" t="str">
        <x:v>填空</x:v>
      </x:c>
      <x:c r="D28" s="20"/>
      <x:c r="E28" s="15" t="str">
        <x:v>分子扩散、费克定律与总体流动</x:v>
      </x:c>
      <x:c r="F28" s="15" t="str">
        <x:v>|M1|</x:v>
      </x:c>
      <x:c r="G28" s="21" t="str">
        <x:v>双组分混合物中，组分A的扩散系数除了与系统的物质属性有关外，还随 及 的不同而变化，对于气体中的扩散，_ 的影响可以忽略。当系统总 浓度增加时，扩散系数将 （增大、减少、不变、不定)，当系统中组分B的分 子量增加时，扩散系数将 (增大、减少、不变、不定)。</x:v>
      </x:c>
      <x:c r="H28" s="15" t="str">
        <x:v>A</x:v>
      </x:c>
      <x:c r="I28" s="15" t="str">
        <x:v>5</x:v>
      </x:c>
      <x:c r="J28" s="15" t="str">
        <x:v>汇编题卷（未核实官方原卷）</x:v>
      </x:c>
      <x:c r="K28" s="22" t="str">
        <x:v>扫描题干摘录，公式与数值做题前核对原PDF。</x:v>
      </x:c>
    </x:row>
    <x:row r="29" ht="66" customHeight="1">
      <x:c r="A29" s="18" t="n">
        <x:v>2000</x:v>
      </x:c>
      <x:c r="B29" s="19" t="str">
        <x:v>2000年 一、填空第10题</x:v>
      </x:c>
      <x:c r="C29" s="19" t="str">
        <x:v>填空</x:v>
      </x:c>
      <x:c r="D29" s="20"/>
      <x:c r="E29" s="15" t="str">
        <x:v>精馏衡算、操作线与进料热状态</x:v>
      </x:c>
      <x:c r="F29" s="15" t="str">
        <x:v>|D2|A3|</x:v>
      </x:c>
      <x:c r="G29" s="21" t="str">
        <x:v>精馏、吸收、萃取过程中的操作线方程是表征多级间 关系，是通过 关 系推导出来的。</x:v>
      </x:c>
      <x:c r="H29" s="15" t="str">
        <x:v>A</x:v>
      </x:c>
      <x:c r="I29" s="15" t="str">
        <x:v>6</x:v>
      </x:c>
      <x:c r="J29" s="15" t="str">
        <x:v>汇编题卷（未核实官方原卷）</x:v>
      </x:c>
      <x:c r="K29" s="22" t="str">
        <x:v>扫描题干摘录，公式与数值做题前核对原PDF。</x:v>
      </x:c>
    </x:row>
    <x:row r="30" ht="66" customHeight="1">
      <x:c r="A30" s="18" t="n">
        <x:v>2000</x:v>
      </x:c>
      <x:c r="B30" s="19" t="str">
        <x:v>2000年 一、填空第11题</x:v>
      </x:c>
      <x:c r="C30" s="19" t="str">
        <x:v>填空</x:v>
      </x:c>
      <x:c r="D30" s="20"/>
      <x:c r="E30" s="15" t="str">
        <x:v>精馏衡算、操作线与进料热状态</x:v>
      </x:c>
      <x:c r="F30" s="15" t="str">
        <x:v>|D2|</x:v>
      </x:c>
      <x:c r="G30" s="21" t="str">
        <x:v>在精馏计算过程中，通过 关系或假定逃行简化计算，藉此省略了 关系。</x:v>
      </x:c>
      <x:c r="H30" s="15" t="str">
        <x:v>A</x:v>
      </x:c>
      <x:c r="I30" s="15" t="str">
        <x:v>6</x:v>
      </x:c>
      <x:c r="J30" s="15" t="str">
        <x:v>汇编题卷（未核实官方原卷）</x:v>
      </x:c>
      <x:c r="K30" s="22" t="str">
        <x:v>扫描题干摘录，公式与数值做题前核对原PDF。</x:v>
      </x:c>
    </x:row>
    <x:row r="31" ht="66" customHeight="1">
      <x:c r="A31" s="18" t="n">
        <x:v>2000</x:v>
      </x:c>
      <x:c r="B31" s="19" t="str">
        <x:v>2000年 一、填空第12题</x:v>
      </x:c>
      <x:c r="C31" s="19" t="str">
        <x:v>填空</x:v>
      </x:c>
      <x:c r="D31" s="20"/>
      <x:c r="E31" s="15" t="str">
        <x:v>吸收 / 解吸的操作变化与强化</x:v>
      </x:c>
      <x:c r="F31" s="15" t="str">
        <x:v>|A5|A4|</x:v>
      </x:c>
      <x:c r="G31" s="21" t="str">
        <x:v>在一填料吸收塔中，用清水吸收某气体混合物中的溶质组分A，入塔气相含A0.06 （摩尔分率，下同），操作条件下的平衡关系为y*=1.2x，操作液气比为1.2，出塔气 相中含A为0.01。若气、液初始组成、流量及操作条件不变，当另一个完全相同的 塔，两塔按串连逆流操作组合时，气体最终出塔组成为</x:v>
      </x:c>
      <x:c r="H31" s="15" t="str">
        <x:v>A</x:v>
      </x:c>
      <x:c r="I31" s="15" t="str">
        <x:v>6</x:v>
      </x:c>
      <x:c r="J31" s="15" t="str">
        <x:v>汇编题卷（未核实官方原卷）</x:v>
      </x:c>
      <x:c r="K31" s="22" t="str">
        <x:v>扫描题干摘录，公式与数值做题前核对原PDF。</x:v>
      </x:c>
    </x:row>
    <x:row r="32" ht="66" customHeight="1">
      <x:c r="A32" s="18" t="n">
        <x:v>2000</x:v>
      </x:c>
      <x:c r="B32" s="19" t="str">
        <x:v>2000年 一、填空第13题</x:v>
      </x:c>
      <x:c r="C32" s="19" t="str">
        <x:v>填空</x:v>
      </x:c>
      <x:c r="D32" s="20"/>
      <x:c r="E32" s="15" t="str">
        <x:v>选择性、分配系数与单级萃取</x:v>
      </x:c>
      <x:c r="F32" s="15" t="str">
        <x:v>|X1|</x:v>
      </x:c>
      <x:c r="G32" s="21" t="str">
        <x:v>单级萃取操作中，在维持相同萃余相浓度下，用含有少量溶质的萃取剂S"代替 溶剂S，则萃取相的量与萃余相的量之比将 （增加、减少、不变)；"萃取液的浓 度（指溶质）将_ (增加、减少、不变)。</x:v>
      </x:c>
      <x:c r="H32" s="15" t="str">
        <x:v>A</x:v>
      </x:c>
      <x:c r="I32" s="15" t="str">
        <x:v>6</x:v>
      </x:c>
      <x:c r="J32" s="15" t="str">
        <x:v>汇编题卷（未核实官方原卷）</x:v>
      </x:c>
      <x:c r="K32" s="22" t="str">
        <x:v>扫描题干摘录，公式与数值做题前核对原PDF。</x:v>
      </x:c>
    </x:row>
    <x:row r="33" ht="66" customHeight="1">
      <x:c r="A33" s="18" t="n">
        <x:v>2000</x:v>
      </x:c>
      <x:c r="B33" s="19" t="str">
        <x:v>2000年 一、填空第14题</x:v>
      </x:c>
      <x:c r="C33" s="19" t="str">
        <x:v>填空</x:v>
      </x:c>
      <x:c r="D33" s="20"/>
      <x:c r="E33" s="15" t="str">
        <x:v>板式 / 填料塔、液泛与负荷图</x:v>
      </x:c>
      <x:c r="F33" s="15" t="str">
        <x:v>|T1|</x:v>
      </x:c>
      <x:c r="G33" s="21" t="str">
        <x:v>从塔板水力学性能的角度来看，引起塔板效率不高的主要原因，可以是 等现象。</x:v>
      </x:c>
      <x:c r="H33" s="15" t="str">
        <x:v>A</x:v>
      </x:c>
      <x:c r="I33" s="15" t="str">
        <x:v>6</x:v>
      </x:c>
      <x:c r="J33" s="15" t="str">
        <x:v>汇编题卷（未核实官方原卷）</x:v>
      </x:c>
      <x:c r="K33" s="22" t="str">
        <x:v>扫描题干摘录，公式与数值做题前核对原PDF。</x:v>
      </x:c>
    </x:row>
    <x:row r="34" ht="66" customHeight="1">
      <x:c r="A34" s="18" t="n">
        <x:v>2000</x:v>
      </x:c>
      <x:c r="B34" s="19" t="str">
        <x:v>2000年 二、计算</x:v>
      </x:c>
      <x:c r="C34" s="19" t="str">
        <x:v>计算</x:v>
      </x:c>
      <x:c r="D34" s="20" t="n">
        <x:v>16</x:v>
      </x:c>
      <x:c r="E34" s="15" t="str">
        <x:v>泵特性、工作点、调节与功率</x:v>
      </x:c>
      <x:c r="F34" s="15" t="str">
        <x:v>|P1|F2|F3|</x:v>
      </x:c>
      <x:c r="G34" s="21" t="str">
        <x:v>需将30m²/h，20C的水（密度pz1000kg/m²，粘度μ=1cP）送至塔顶。塔顶压力 为0.5kgf/m²（表），塔顶与取水池永面的高度差为10m。输水管为Φ89x4mm、长 18m，管线局部阻力系数≥≥13&lt;阀全开时）；摩擦系数： 0.7543 入=0.01227+ Re0.38 (1) 求输送所需的理论功率（kW） (2) 泵的特性可近似用下式表达： 扬程He=22.4+5Q-20Q² m 效率m=2.5Q-2.1Q² 式中Q的单位为m²/min。求出最高效率点的效率并评价此泵的适用性。如适用， 求调节阀消耗的功率增加多少？</x:v>
      </x:c>
      <x:c r="H34" s="15" t="str">
        <x:v>A</x:v>
      </x:c>
      <x:c r="I34" s="15" t="str">
        <x:v>6</x:v>
      </x:c>
      <x:c r="J34" s="15" t="str">
        <x:v>汇编题卷（未核实官方原卷）</x:v>
      </x:c>
      <x:c r="K34" s="22" t="str">
        <x:v>扫描题干摘录，公式与数值做题前核对原PDF。</x:v>
      </x:c>
    </x:row>
    <x:row r="35" ht="66" customHeight="1">
      <x:c r="A35" s="18" t="n">
        <x:v>2000</x:v>
      </x:c>
      <x:c r="B35" s="19" t="str">
        <x:v>2000年 三、计算</x:v>
      </x:c>
      <x:c r="C35" s="19" t="str">
        <x:v>计算</x:v>
      </x:c>
      <x:c r="D35" s="20" t="n">
        <x:v>16</x:v>
      </x:c>
      <x:c r="E35" s="15" t="str">
        <x:v>过滤方程与过滤常数</x:v>
      </x:c>
      <x:c r="F35" s="15" t="str">
        <x:v>|S3|</x:v>
      </x:c>
      <x:c r="G35" s="21" t="str">
        <x:v>有一板框过滤机，过滤面积为10m²，在1.3大气压（表压）下进行过滤，2h后 得滤液30m3，滤布介质阻力略去不计。 （1）为了缩短过滤时间，增加板框数目，使总过滤面积增加到15m²，滤液量仍为 30m²，问此时过滤时间是多少？ （2）若把压力加大到2大气压（表压），过滤面积仍为15m²，2h后得滤液50m²， 问此时过滤常数K为多少？</x:v>
      </x:c>
      <x:c r="H35" s="15" t="str">
        <x:v>A</x:v>
      </x:c>
      <x:c r="I35" s="15" t="str">
        <x:v>6、7</x:v>
      </x:c>
      <x:c r="J35" s="15" t="str">
        <x:v>汇编题卷（未核实官方原卷）</x:v>
      </x:c>
      <x:c r="K35" s="22" t="str">
        <x:v>扫描题干摘录，公式与数值做题前核对原PDF。</x:v>
      </x:c>
    </x:row>
    <x:row r="36" ht="66" customHeight="1">
      <x:c r="A36" s="18" t="n">
        <x:v>2000</x:v>
      </x:c>
      <x:c r="B36" s="19" t="str">
        <x:v>2000年 四、计算</x:v>
      </x:c>
      <x:c r="C36" s="19" t="str">
        <x:v>计算</x:v>
      </x:c>
      <x:c r="D36" s="20" t="n">
        <x:v>16</x:v>
      </x:c>
      <x:c r="E36" s="15" t="str">
        <x:v>换热器设计、校核与操作计算</x:v>
      </x:c>
      <x:c r="F36" s="15" t="str">
        <x:v>|H4|H2|H3|</x:v>
      </x:c>
      <x:c r="G36" s="21" t="str">
        <x:v>有一套管换热器，内管为Φ54x2m，外管为中116x4mm的钢管，内管中苯被加 热，苯进口温度为50℃，出口温度为80℃，流量为4000kg/h。环隙为133.3℃的饱 和水蒸汽冷凝，其汽化热为2168.1kJ/kg，冷凝对流传热系数为11630W/m·K 苯在50℃～80℃之间的物性参数平均值为：密度p=880kg/m,比热 Cp=1.86kJ/kg·K，粘度=0.39x10-3Pas，导热系数入=0.134W/m·K，管内壁垢阻为 0.000265K·m2/W，管壁及管外侧垢阻不计。试求： （1） 加热蒸汽消耗量； (2) 所需的传热面积（以内管外表面计）。 （3）当苯的流量增加50%，要求苯的进出口温度 加热蒸汽的温度应为多少</x:v>
      </x:c>
      <x:c r="H36" s="15" t="str">
        <x:v>A</x:v>
      </x:c>
      <x:c r="I36" s="15" t="str">
        <x:v>7</x:v>
      </x:c>
      <x:c r="J36" s="15" t="str">
        <x:v>汇编题卷（未核实官方原卷）</x:v>
      </x:c>
      <x:c r="K36" s="22" t="str">
        <x:v>扫描题干摘录，公式与数值做题前核对原PDF。</x:v>
      </x:c>
    </x:row>
    <x:row r="37" ht="66" customHeight="1">
      <x:c r="A37" s="18" t="n">
        <x:v>2000</x:v>
      </x:c>
      <x:c r="B37" s="19" t="str">
        <x:v>2000年 五、计算</x:v>
      </x:c>
      <x:c r="C37" s="19" t="str">
        <x:v>计算</x:v>
      </x:c>
      <x:c r="D37" s="20" t="n">
        <x:v>14</x:v>
      </x:c>
      <x:c r="E37" s="15" t="str">
        <x:v>传质单元、填料高度与理论级</x:v>
      </x:c>
      <x:c r="F37" s="15" t="str">
        <x:v>|A4|A3|</x:v>
      </x:c>
      <x:c r="G37" s="21" t="str">
        <x:v>在一逆流填料吸收塔丙，用三乙醇胺水溶液吸收汽相中的H2S，进塔气相中 H2S 的含量为2.91%（体积%，下同），要求H2S的回收率不低于99%，操作温度为27℃， 压力为1amn。进塔为新鲜溶剂，出塔溶剂中H2S浓度为0.013kmol（H2S）/kmo（溶 剂），塔内惰性气流速为0.015kmol/（m²·s），体系的相平衡关系为：y*=2x （1）试求最小液气比和实际操作的液气比。 （2）若Pall（鲍尔）环在该体系中的气相总体积传质系数为0.000395kmol/（m3·s·kPa）， 试求达到该生产要求所需要的填科高度。 （3）如果采用浮阀塔板，共需要25层才能达到该分离要求，试求浮阀塔板在该体 系中的全塔效率。 （4）试</x:v>
      </x:c>
      <x:c r="H37" s="15" t="str">
        <x:v>A</x:v>
      </x:c>
      <x:c r="I37" s="15" t="str">
        <x:v>7</x:v>
      </x:c>
      <x:c r="J37" s="15" t="str">
        <x:v>汇编题卷（未核实官方原卷）</x:v>
      </x:c>
      <x:c r="K37" s="22" t="str">
        <x:v>扫描题干摘录，公式与数值做题前核对原PDF。</x:v>
      </x:c>
    </x:row>
    <x:row r="38" ht="66" customHeight="1">
      <x:c r="A38" s="18" t="n">
        <x:v>2000</x:v>
      </x:c>
      <x:c r="B38" s="19" t="str">
        <x:v>2000年 六、计算</x:v>
      </x:c>
      <x:c r="C38" s="19" t="str">
        <x:v>计算</x:v>
      </x:c>
      <x:c r="D38" s="20" t="n">
        <x:v>17</x:v>
      </x:c>
      <x:c r="E38" s="15" t="str">
        <x:v>精馏衡算、操作线与进料热状态</x:v>
      </x:c>
      <x:c r="F38" s="15" t="str">
        <x:v>|D2|D3|D4|D1|</x:v>
      </x:c>
      <x:c r="G38" s="21" t="str">
        <x:v>用一连续精馏塔分离苯一甲苯混合溶液，原料液中含苯0.50，塔顶采用部分冷 凝器，馏出液中含苯0.95，要求全塔苯的回收率大于95%（以上均为摩尔分率），原 料液为汽、液混合进料，其中蒸汽占1/3（摩尔分率)，苯一甲苯的平均相对挥发度为 2.5，回流比为最小回流比的2倍，理论板数与回流比的关系符合Gililland关联： Y = 0.75 (1 -x0.567) 其中 N-Nmin , X=- R-Rmin N+1 R+1 试求： (1) 原料液中汽相及液相的组成；最小回流比；进料的热状态线 (2) 试求达到该分离任务所需要的理论板数和进料位置； (3） 由于生产的需要，希望在精馏段某个位置抽出一股含苯90%的侧线物料。当 塔顶回流比</x:v>
      </x:c>
      <x:c r="H38" s="15" t="str">
        <x:v>A</x:v>
      </x:c>
      <x:c r="I38" s="15" t="str">
        <x:v>7、8</x:v>
      </x:c>
      <x:c r="J38" s="15" t="str">
        <x:v>汇编题卷（未核实官方原卷）</x:v>
      </x:c>
      <x:c r="K38" s="22" t="str">
        <x:v>扫描题干摘录，公式与数值做题前核对原PDF。</x:v>
      </x:c>
    </x:row>
    <x:row r="39" ht="66" customHeight="1">
      <x:c r="A39" s="18" t="n">
        <x:v>2001</x:v>
      </x:c>
      <x:c r="B39" s="19" t="str">
        <x:v>2001年 一、填空第1题</x:v>
      </x:c>
      <x:c r="C39" s="19" t="str">
        <x:v>填空</x:v>
      </x:c>
      <x:c r="D39" s="20"/>
      <x:c r="E39" s="15" t="str">
        <x:v>黏性、Re、流型与管路阻力</x:v>
      </x:c>
      <x:c r="F39" s="15" t="str">
        <x:v>|F3|</x:v>
      </x:c>
      <x:c r="G39" s="21" t="str">
        <x:v>流体在一段圆形水平直管中流动，得平均流速力O3m/s，压强降为10Pa，Re为 1000，问管中心处的点速度为 m/s。若流速增加为1m/s，则压强降为 Pa。</x:v>
      </x:c>
      <x:c r="H39" s="15" t="str">
        <x:v>A</x:v>
      </x:c>
      <x:c r="I39" s="15" t="str">
        <x:v>9</x:v>
      </x:c>
      <x:c r="J39" s="15" t="str">
        <x:v>汇编题卷（未核实官方原卷）</x:v>
      </x:c>
      <x:c r="K39" s="22" t="str">
        <x:v>扫描题干摘录，公式与数值做题前核对原PDF。</x:v>
      </x:c>
    </x:row>
    <x:row r="40" ht="66" customHeight="1">
      <x:c r="A40" s="18" t="n">
        <x:v>2001</x:v>
      </x:c>
      <x:c r="B40" s="19" t="str">
        <x:v>2001年 一、填空第2题</x:v>
      </x:c>
      <x:c r="C40" s="19" t="str">
        <x:v>填空</x:v>
      </x:c>
      <x:c r="D40" s="20"/>
      <x:c r="E40" s="15" t="str">
        <x:v>泵特性、工作点、调节与功率</x:v>
      </x:c>
      <x:c r="F40" s="15" t="str">
        <x:v>|P1|</x:v>
      </x:c>
      <x:c r="G40" s="21" t="str">
        <x:v>用离心泵在两散口容器间输水，在同管路中，若用该离心泵输送p=1200kg/m 的某液体（该液体的其它性质与水相)与输送水相比，离心泵的流量 _，扬程 ，泵出口压力 抽 (变大，变小，不变，不确定)</x:v>
      </x:c>
      <x:c r="H40" s="15" t="str">
        <x:v>A</x:v>
      </x:c>
      <x:c r="I40" s="15" t="str">
        <x:v>9</x:v>
      </x:c>
      <x:c r="J40" s="15" t="str">
        <x:v>汇编题卷（未核实官方原卷）</x:v>
      </x:c>
      <x:c r="K40" s="22" t="str">
        <x:v>扫描题干摘录，公式与数值做题前核对原PDF。</x:v>
      </x:c>
    </x:row>
    <x:row r="41" ht="66" customHeight="1">
      <x:c r="A41" s="18" t="n">
        <x:v>2001</x:v>
      </x:c>
      <x:c r="B41" s="19" t="str">
        <x:v>2001年 一、填空第3题</x:v>
      </x:c>
      <x:c r="C41" s="19" t="str">
        <x:v>填空</x:v>
      </x:c>
      <x:c r="D41" s="20"/>
      <x:c r="E41" s="15" t="str">
        <x:v>颗粒粒径、沉降与降尘室</x:v>
      </x:c>
      <x:c r="F41" s="15" t="str">
        <x:v>|S1|</x:v>
      </x:c>
      <x:c r="G41" s="21" t="str">
        <x:v>降尘室的生产能力只与降尘室的 和 有关，而与 无关。</x:v>
      </x:c>
      <x:c r="H41" s="15" t="str">
        <x:v>A</x:v>
      </x:c>
      <x:c r="I41" s="15" t="str">
        <x:v>9</x:v>
      </x:c>
      <x:c r="J41" s="15" t="str">
        <x:v>汇编题卷（未核实官方原卷）</x:v>
      </x:c>
      <x:c r="K41" s="22" t="str">
        <x:v>扫描题干摘录，公式与数值做题前核对原PDF。</x:v>
      </x:c>
    </x:row>
    <x:row r="42" ht="66" customHeight="1">
      <x:c r="A42" s="18" t="n">
        <x:v>2001</x:v>
      </x:c>
      <x:c r="B42" s="19" t="str">
        <x:v>2001年 一、填空第4题</x:v>
      </x:c>
      <x:c r="C42" s="19" t="str">
        <x:v>填空</x:v>
      </x:c>
      <x:c r="D42" s="20"/>
      <x:c r="E42" s="15" t="str">
        <x:v>床层压降、流化状态与异常</x:v>
      </x:c>
      <x:c r="F42" s="15" t="str">
        <x:v>|B1|</x:v>
      </x:c>
      <x:c r="G42" s="21" t="str">
        <x:v>当颗粒层处于流化阶段，床层的压降约等于</x:v>
      </x:c>
      <x:c r="H42" s="15" t="str">
        <x:v>A</x:v>
      </x:c>
      <x:c r="I42" s="15" t="str">
        <x:v>9</x:v>
      </x:c>
      <x:c r="J42" s="15" t="str">
        <x:v>汇编题卷（未核实官方原卷）</x:v>
      </x:c>
      <x:c r="K42" s="22" t="str">
        <x:v>扫描题干摘录，公式与数值做题前核对原PDF。</x:v>
      </x:c>
    </x:row>
    <x:row r="43" ht="66" customHeight="1">
      <x:c r="A43" s="18" t="n">
        <x:v>2001</x:v>
      </x:c>
      <x:c r="B43" s="19" t="str">
        <x:v>2001年 一、填空第5题</x:v>
      </x:c>
      <x:c r="C43" s="19" t="str">
        <x:v>填空</x:v>
      </x:c>
      <x:c r="D43" s="20"/>
      <x:c r="E43" s="15" t="str">
        <x:v>导热、保温与临界直径</x:v>
      </x:c>
      <x:c r="F43" s="15" t="str">
        <x:v>|H1|H2|</x:v>
      </x:c>
      <x:c r="G43" s="21" t="str">
        <x:v>外包绝热材料的藜流管道，当蒸汽压力增大时，绝热层外表面与空气之间的给热 系数将 绝热材料的导热系数将 (增大，减小，不变，不确定)，其主要 原因是</x:v>
      </x:c>
      <x:c r="H43" s="15" t="str">
        <x:v>A</x:v>
      </x:c>
      <x:c r="I43" s="15" t="str">
        <x:v>9</x:v>
      </x:c>
      <x:c r="J43" s="15" t="str">
        <x:v>汇编题卷（未核实官方原卷）</x:v>
      </x:c>
      <x:c r="K43" s="22" t="str">
        <x:v>扫描题干摘录，公式与数值做题前核对原PDF。</x:v>
      </x:c>
    </x:row>
    <x:row r="44" ht="66" customHeight="1">
      <x:c r="A44" s="18" t="n">
        <x:v>2001</x:v>
      </x:c>
      <x:c r="B44" s="19" t="str">
        <x:v>2001年 一、填空第6题</x:v>
      </x:c>
      <x:c r="C44" s="19" t="str">
        <x:v>填空</x:v>
      </x:c>
      <x:c r="D44" s="20"/>
      <x:c r="E44" s="15" t="str">
        <x:v>热辐射</x:v>
      </x:c>
      <x:c r="F44" s="15" t="str">
        <x:v>|O1|</x:v>
      </x:c>
      <x:c r="G44" s="21" t="str">
        <x:v>体表面温度由40C加热到347K，则辐射能力增加为原来的 倍。</x:v>
      </x:c>
      <x:c r="H44" s="15" t="str">
        <x:v>A</x:v>
      </x:c>
      <x:c r="I44" s="15" t="str">
        <x:v>9</x:v>
      </x:c>
      <x:c r="J44" s="15" t="str">
        <x:v>汇编题卷（未核实官方原卷）</x:v>
      </x:c>
      <x:c r="K44" s="22" t="str">
        <x:v>扫描题干摘录，公式与数值做题前核对原PDF。</x:v>
      </x:c>
    </x:row>
    <x:row r="45" ht="66" customHeight="1">
      <x:c r="A45" s="18" t="n">
        <x:v>2001</x:v>
      </x:c>
      <x:c r="B45" s="19" t="str">
        <x:v>2001年 一、填空第7题</x:v>
      </x:c>
      <x:c r="C45" s="19" t="str">
        <x:v>填空</x:v>
      </x:c>
      <x:c r="D45" s="20"/>
      <x:c r="E45" s="15" t="str">
        <x:v>板式 / 填料塔、液泛与负荷图</x:v>
      </x:c>
      <x:c r="F45" s="15" t="str">
        <x:v>|T1|</x:v>
      </x:c>
      <x:c r="G45" s="21" t="str">
        <x:v>在精馏体系中，随着塔设备操作压力增加，体系的分子量是 的，塔内汽相体 积负荷是 的，液相体积负荷是 的，这也就是为什么板式减压塔常常为 液泛控制，而加压塔为 液泛控制，同时在相同的处理量下，减压塔的塔径 较加压塔 的多的主要原因。</x:v>
      </x:c>
      <x:c r="H45" s="15" t="str">
        <x:v>A</x:v>
      </x:c>
      <x:c r="I45" s="15" t="str">
        <x:v>9</x:v>
      </x:c>
      <x:c r="J45" s="15" t="str">
        <x:v>汇编题卷（未核实官方原卷）</x:v>
      </x:c>
      <x:c r="K45" s="22" t="str">
        <x:v>扫描题干摘录，公式与数值做题前核对原PDF。</x:v>
      </x:c>
    </x:row>
    <x:row r="46" ht="66" customHeight="1">
      <x:c r="A46" s="18" t="n">
        <x:v>2001</x:v>
      </x:c>
      <x:c r="B46" s="19" t="str">
        <x:v>2001年 一、填空第8题</x:v>
      </x:c>
      <x:c r="C46" s="19" t="str">
        <x:v>填空</x:v>
      </x:c>
      <x:c r="D46" s="20"/>
      <x:c r="E46" s="15" t="str">
        <x:v>简单、间歇与特殊蒸馏</x:v>
      </x:c>
      <x:c r="F46" s="15" t="str">
        <x:v>|D5|</x:v>
      </x:c>
      <x:c r="G46" s="21" t="str">
        <x:v>水蒸汽蒸馏是 。恒 沸蒸馏是 萃取蒸馏是</x:v>
      </x:c>
      <x:c r="H46" s="15" t="str">
        <x:v>A</x:v>
      </x:c>
      <x:c r="I46" s="15" t="str">
        <x:v>10</x:v>
      </x:c>
      <x:c r="J46" s="15" t="str">
        <x:v>汇编题卷（未核实官方原卷）</x:v>
      </x:c>
      <x:c r="K46" s="22" t="str">
        <x:v>扫描题干摘录，公式与数值做题前核对原PDF。</x:v>
      </x:c>
    </x:row>
    <x:row r="47" ht="66" customHeight="1">
      <x:c r="A47" s="18" t="n">
        <x:v>2001</x:v>
      </x:c>
      <x:c r="B47" s="19" t="str">
        <x:v>2001年 一、填空第9题</x:v>
      </x:c>
      <x:c r="C47" s="19" t="str">
        <x:v>填空</x:v>
      </x:c>
      <x:c r="D47" s="20"/>
      <x:c r="E47" s="15" t="str">
        <x:v>选择性、分配系数与单级萃取</x:v>
      </x:c>
      <x:c r="F47" s="15" t="str">
        <x:v>|X1|D5|</x:v>
      </x:c>
      <x:c r="G47" s="21" t="str">
        <x:v>萃取过程中，溶剂选择不仅要求对溶质A具有 性，同时也要求对稀释剂B 的 度，一般要求两者 ，否则萃取过程将难以实现。而萃取蒸馏中一旦出现 了萃取剂与体系液相出现了 _，则萃取精馏操作失效。</x:v>
      </x:c>
      <x:c r="H47" s="15" t="str">
        <x:v>A</x:v>
      </x:c>
      <x:c r="I47" s="15" t="str">
        <x:v>10</x:v>
      </x:c>
      <x:c r="J47" s="15" t="str">
        <x:v>汇编题卷（未核实官方原卷）</x:v>
      </x:c>
      <x:c r="K47" s="22" t="str">
        <x:v>扫描题干摘录，公式与数值做题前核对原PDF。</x:v>
      </x:c>
    </x:row>
    <x:row r="48" ht="66" customHeight="1">
      <x:c r="A48" s="18" t="n">
        <x:v>2001</x:v>
      </x:c>
      <x:c r="B48" s="19" t="str">
        <x:v>2001年 一、填空第10题</x:v>
      </x:c>
      <x:c r="C48" s="19" t="str">
        <x:v>填空</x:v>
      </x:c>
      <x:c r="D48" s="20"/>
      <x:c r="E48" s="15" t="str">
        <x:v>分子扩散、费克定律与总体流动</x:v>
      </x:c>
      <x:c r="F48" s="15" t="str">
        <x:v>|M1|</x:v>
      </x:c>
      <x:c r="G48" s="21" t="str">
        <x:v>漂流因子是指 与 之比，反映了 对组分A 的影响。</x:v>
      </x:c>
      <x:c r="H48" s="15" t="str">
        <x:v>A</x:v>
      </x:c>
      <x:c r="I48" s="15" t="str">
        <x:v>10</x:v>
      </x:c>
      <x:c r="J48" s="15" t="str">
        <x:v>汇编题卷（未核实官方原卷）</x:v>
      </x:c>
      <x:c r="K48" s="22" t="str">
        <x:v>扫描题干摘录，公式与数值做题前核对原PDF。</x:v>
      </x:c>
    </x:row>
    <x:row r="49" ht="66" customHeight="1">
      <x:c r="A49" s="18" t="n">
        <x:v>2001</x:v>
      </x:c>
      <x:c r="B49" s="19" t="str">
        <x:v>2001年 二、计算</x:v>
      </x:c>
      <x:c r="C49" s="19" t="str">
        <x:v>计算</x:v>
      </x:c>
      <x:c r="D49" s="20" t="n">
        <x:v>16</x:v>
      </x:c>
      <x:c r="E49" s="15" t="str">
        <x:v>连续性、伯努利与管路计算</x:v>
      </x:c>
      <x:c r="F49" s="15" t="str">
        <x:v>|F2|F1|</x:v>
      </x:c>
      <x:c r="G49" s="21" t="str">
        <x:v>用离心泵将密闭中20℃的水（密度为1000kg/m²）通过内径为100mm的管道送 往散口高位槽。两储槽液面高度差为10m，密闭槽液面上有真空表 P 读数为 600mmHg（真），泵进口处真空表P2读数为294mmHg（真）。出口管路上装有一孔 板流量计，其孔口直径do=70mm，流量系数C。=0.7，U形算水银压差计读数R=170mm， 已知管路总能量损失为44J/kg，试求： （1）出口管路中水的流速； （2）泵出口处压力表P3（与图对应）的指示值为多少？（已知P2与P3相距0.1m）？ R 10m P1 0.1m</x:v>
      </x:c>
      <x:c r="H49" s="15" t="str">
        <x:v>A</x:v>
      </x:c>
      <x:c r="I49" s="15" t="str">
        <x:v>10</x:v>
      </x:c>
      <x:c r="J49" s="15" t="str">
        <x:v>汇编题卷（未核实官方原卷）</x:v>
      </x:c>
      <x:c r="K49" s="22" t="str">
        <x:v>扫描题干摘录，公式与数值做题前核对原PDF。</x:v>
      </x:c>
    </x:row>
    <x:row r="50" ht="66" customHeight="1">
      <x:c r="A50" s="18" t="n">
        <x:v>2001</x:v>
      </x:c>
      <x:c r="B50" s="19" t="str">
        <x:v>2001年 三、计算</x:v>
      </x:c>
      <x:c r="C50" s="19" t="str">
        <x:v>计算</x:v>
      </x:c>
      <x:c r="D50" s="20" t="n">
        <x:v>8</x:v>
      </x:c>
      <x:c r="E50" s="15" t="str">
        <x:v>洗涤、板框 / 转筒与生产能力</x:v>
      </x:c>
      <x:c r="F50" s="15" t="str">
        <x:v>|S4|S3|</x:v>
      </x:c>
      <x:c r="G50" s="21" t="str">
        <x:v>某悬浮液在板筐式过滤机中进行恒压过滤，操作压差为15x10$Pa，过滤常数 K=0.04m2/s，一个操作循环及辅助时间均为1000s，过滤面积为4m²，滤饼不洗涤。 假设滤饼不可压缩，过滤介质阻力可以忽略不计，试求： (1）最大生产能力（m3/s）; （2）有一回转真空过滤机，每回转一周提供的过滤面积为4m²，转速为0.003转/ 秒，浸没度=0.3。若要求此回转真空过滤机达到上述板框过机的最大生产能力，试 确定该回转真空过滤机的真空度应为多少？</x:v>
      </x:c>
      <x:c r="H50" s="15" t="str">
        <x:v>A</x:v>
      </x:c>
      <x:c r="I50" s="15" t="str">
        <x:v>10、11</x:v>
      </x:c>
      <x:c r="J50" s="15" t="str">
        <x:v>汇编题卷（未核实官方原卷）</x:v>
      </x:c>
      <x:c r="K50" s="22" t="str">
        <x:v>扫描题干摘录，公式与数值做题前核对原PDF。</x:v>
      </x:c>
    </x:row>
    <x:row r="51" ht="66" customHeight="1">
      <x:c r="A51" s="18" t="n">
        <x:v>2001</x:v>
      </x:c>
      <x:c r="B51" s="19" t="str">
        <x:v>2001年 四、计算</x:v>
      </x:c>
      <x:c r="C51" s="19" t="str">
        <x:v>计算</x:v>
      </x:c>
      <x:c r="D51" s="20" t="n">
        <x:v>16</x:v>
      </x:c>
      <x:c r="E51" s="15" t="str">
        <x:v>换热器设计、校核与操作计算</x:v>
      </x:c>
      <x:c r="F51" s="15" t="str">
        <x:v>|H4|H2|H3|H5|F3|</x:v>
      </x:c>
      <x:c r="G51" s="21" t="str">
        <x:v>某厂用两台结构完全相同的单程列管换热器（由44根Φ25x2.5m、长2m的管子 构成)，按并联方式预热某种料液。122℃饱和蒸汽在两换热器列管外冷凝，料液以等 流量在两换热器管内流过。料液的比热为4.01kJ/kg·℃，密度为1000kg/m²，当料液 总流量为1.56×10-3m3%s时（料液在管内呈湍流流动），料液由22C被加热到102℃， 若蒸汽冷凝给热膜系数为8kW/m2C，管壁及污垢热阻均可忽略不讨。试问： （1）管内料液对流给热膜系数为多少？ （2）料液总流量与加热条件不变，将两台换热器由并联改为联使用，料液能否由 22℃加热到112℃。 （3）两台换热器由并联改为串联后，在料液总流量不变情况下，流经列管的压力降</x:v>
      </x:c>
      <x:c r="H51" s="15" t="str">
        <x:v>A</x:v>
      </x:c>
      <x:c r="I51" s="15" t="str">
        <x:v>11</x:v>
      </x:c>
      <x:c r="J51" s="15" t="str">
        <x:v>汇编题卷（未核实官方原卷）</x:v>
      </x:c>
      <x:c r="K51" s="22" t="str">
        <x:v>扫描题干摘录，公式与数值做题前核对原PDF。</x:v>
      </x:c>
    </x:row>
    <x:row r="52" ht="66" customHeight="1">
      <x:c r="A52" s="18" t="n">
        <x:v>2001</x:v>
      </x:c>
      <x:c r="B52" s="19" t="str">
        <x:v>2001年 五、计算</x:v>
      </x:c>
      <x:c r="C52" s="19" t="str">
        <x:v>计算</x:v>
      </x:c>
      <x:c r="D52" s="20" t="n">
        <x:v>15</x:v>
      </x:c>
      <x:c r="E52" s="15" t="str">
        <x:v>传质单元、填料高度与理论级</x:v>
      </x:c>
      <x:c r="F52" s="15" t="str">
        <x:v>|A4|A3|A5|</x:v>
      </x:c>
      <x:c r="G52" s="21" t="str">
        <x:v>流率为0.04kmol/（m 的空气混合气中，含氨的体积分率为2%，拟用逆流吸 收塔来吸收以回收95%的氨，塔项水因为循环使用而含氨4.0×104（摩尔分率，下同）， 操作液气比为最小夜气比的1.5倍，操作范围内符合亨利定律y=1.2x，所选用填料的 总体积传质系数kya=0.052kmol/（m·s）。试求： （1） 液在塔底的摩尔分数x1及所需的填料高度。 （2）如果该填料的等板高度HETP=0.4米，试估算采用板式塔所需的理论级数。若 浮阀塔板对该体系的全塔效率为52.0%，试估算需要多少层实际塔板； （3）若其它生产装置中需要浓度为0.6%、流量为0.050xL的氨水从该塔以侧线的 方式抽出，在氨回收率、Kya和操作液气比不</x:v>
      </x:c>
      <x:c r="H52" s="15" t="str">
        <x:v>A</x:v>
      </x:c>
      <x:c r="I52" s="15" t="str">
        <x:v>11</x:v>
      </x:c>
      <x:c r="J52" s="15" t="str">
        <x:v>汇编题卷（未核实官方原卷）</x:v>
      </x:c>
      <x:c r="K52" s="22" t="str">
        <x:v>扫描题干摘录，公式与数值做题前核对原PDF。</x:v>
      </x:c>
    </x:row>
    <x:row r="53" ht="66" customHeight="1">
      <x:c r="A53" s="18" t="n">
        <x:v>2001</x:v>
      </x:c>
      <x:c r="B53" s="19" t="str">
        <x:v>2001年 六、计算</x:v>
      </x:c>
      <x:c r="C53" s="19" t="str">
        <x:v>计算</x:v>
      </x:c>
      <x:c r="D53" s="20" t="n">
        <x:v>14</x:v>
      </x:c>
      <x:c r="E53" s="15" t="str">
        <x:v>精馏衡算、操作线与进料热状态</x:v>
      </x:c>
      <x:c r="F53" s="15" t="str">
        <x:v>|D2|D3|D4|T1|</x:v>
      </x:c>
      <x:c r="G53" s="21" t="str">
        <x:v>用精馏技术分离某苯/甲苯体系，体系的相对挥发度为2.560，进料组成为0.420 （摩尔分率，下同），流量为100.0kg/h，在泡点温度下连续加入某项，塔项无液体回 流，要求塔釜苯的组成不超过0.020。（汽液相见下图） 试求： 1.0 0.9 0.8 0.7 0.6 0.5 0.4 0.3 0.2 0.1 0.0 0.0 0.10.20.30.40.50.60.70.80.91.0 × （1） 当xp=0.6时，所需的理论板数； （2）若在该塔中间某位置侧线抽出.2倍的气相流率，假定塔顶、塔底组成和产品 量不变，试推导侧线上、下两段的操作线方程； （3）在设计条件下，无论该塔需要多少理论板数，试求塔项的最大组成xDmax° （4</x:v>
      </x:c>
      <x:c r="H53" s="15" t="str">
        <x:v>A</x:v>
      </x:c>
      <x:c r="I53" s="15" t="str">
        <x:v>11、12</x:v>
      </x:c>
      <x:c r="J53" s="15" t="str">
        <x:v>汇编题卷（未核实官方原卷）</x:v>
      </x:c>
      <x:c r="K53" s="22" t="str">
        <x:v>扫描题干摘录，公式与数值做题前核对原PDF。</x:v>
      </x:c>
    </x:row>
    <x:row r="54" ht="66" customHeight="1">
      <x:c r="A54" s="18" t="n">
        <x:v>2002</x:v>
      </x:c>
      <x:c r="B54" s="19" t="str">
        <x:v>2002年 一、填空第1题</x:v>
      </x:c>
      <x:c r="C54" s="19" t="str">
        <x:v>填空</x:v>
      </x:c>
      <x:c r="D54" s="20"/>
      <x:c r="E54" s="15" t="str">
        <x:v>静力学、压力与U形压差计</x:v>
      </x:c>
      <x:c r="F54" s="15" t="str">
        <x:v>|F1|</x:v>
      </x:c>
      <x:c r="G54" s="21" t="str">
        <x:v>4°C水在SI制中密度为1000kg/m3；重度为 二程单位制中密度为 重度为</x:v>
      </x:c>
      <x:c r="H54" s="15" t="str">
        <x:v>A</x:v>
      </x:c>
      <x:c r="I54" s="15" t="str">
        <x:v>13</x:v>
      </x:c>
      <x:c r="J54" s="15" t="str">
        <x:v>汇编题卷（未核实官方原卷）</x:v>
      </x:c>
      <x:c r="K54" s="22" t="str">
        <x:v>扫描题干摘录，公式与数值做题前核对原PDF。</x:v>
      </x:c>
    </x:row>
    <x:row r="55" ht="66" customHeight="1">
      <x:c r="A55" s="18" t="n">
        <x:v>2002</x:v>
      </x:c>
      <x:c r="B55" s="19" t="str">
        <x:v>2002年 一、填空第2题</x:v>
      </x:c>
      <x:c r="C55" s="19" t="str">
        <x:v>填空</x:v>
      </x:c>
      <x:c r="D55" s="20"/>
      <x:c r="E55" s="15" t="str">
        <x:v>黏性、Re、流型与管路阻力</x:v>
      </x:c>
      <x:c r="F55" s="15" t="str">
        <x:v>|F3|</x:v>
      </x:c>
      <x:c r="G55" s="21" t="str">
        <x:v>流体在阻力平方区流动，若其它条件不”贝 则其压降随着管子的相对粗糙度 增加而 ，随着流体的密度增凌而</x:v>
      </x:c>
      <x:c r="H55" s="15" t="str">
        <x:v>A</x:v>
      </x:c>
      <x:c r="I55" s="15" t="str">
        <x:v>13</x:v>
      </x:c>
      <x:c r="J55" s="15" t="str">
        <x:v>汇编题卷（未核实官方原卷）</x:v>
      </x:c>
      <x:c r="K55" s="22" t="str">
        <x:v>扫描题干摘录，公式与数值做题前核对原PDF。</x:v>
      </x:c>
    </x:row>
    <x:row r="56" ht="66" customHeight="1">
      <x:c r="A56" s="18" t="n">
        <x:v>2002</x:v>
      </x:c>
      <x:c r="B56" s="19" t="str">
        <x:v>2002年 一、填空第3题</x:v>
      </x:c>
      <x:c r="C56" s="19" t="str">
        <x:v>填空</x:v>
      </x:c>
      <x:c r="D56" s="20"/>
      <x:c r="E56" s="15" t="str">
        <x:v>汽蚀、气缚、安装与开停</x:v>
      </x:c>
      <x:c r="F56" s="15" t="str">
        <x:v>|P2|</x:v>
      </x:c>
      <x:c r="G56" s="21" t="str">
        <x:v>若离心泵入口处允许的最低压矛以 P1表示，大气压力以 Pa表示，汽蚀余量 以 h 表示，则允许吸上真空高度为：</x:v>
      </x:c>
      <x:c r="H56" s="15" t="str">
        <x:v>A</x:v>
      </x:c>
      <x:c r="I56" s="15" t="str">
        <x:v>13</x:v>
      </x:c>
      <x:c r="J56" s="15" t="str">
        <x:v>汇编题卷（未核实官方原卷）</x:v>
      </x:c>
      <x:c r="K56" s="22" t="str">
        <x:v>扫描题干摘录，公式与数值做题前核对原PDF。</x:v>
      </x:c>
    </x:row>
    <x:row r="57" ht="66" customHeight="1">
      <x:c r="A57" s="18" t="n">
        <x:v>2002</x:v>
      </x:c>
      <x:c r="B57" s="19" t="str">
        <x:v>2002年 一、填空第4题</x:v>
      </x:c>
      <x:c r="C57" s="19" t="str">
        <x:v>填空</x:v>
      </x:c>
      <x:c r="D57" s="20"/>
      <x:c r="E57" s="15" t="str">
        <x:v>泵特性、工作点、调节与功率</x:v>
      </x:c>
      <x:c r="F57" s="15" t="str">
        <x:v>|P1|</x:v>
      </x:c>
      <x:c r="G57" s="21" t="str">
        <x:v>串联操作中的每象与其单独操作时相比，流量 ，压头 _。（较大， 较小，不变)</x:v>
      </x:c>
      <x:c r="H57" s="15" t="str">
        <x:v>A</x:v>
      </x:c>
      <x:c r="I57" s="15" t="str">
        <x:v>13</x:v>
      </x:c>
      <x:c r="J57" s="15" t="str">
        <x:v>汇编题卷（未核实官方原卷）</x:v>
      </x:c>
      <x:c r="K57" s="22" t="str">
        <x:v>扫描题干摘录，公式与数值做题前核对原PDF。</x:v>
      </x:c>
    </x:row>
    <x:row r="58" ht="66" customHeight="1">
      <x:c r="A58" s="18" t="n">
        <x:v>2002</x:v>
      </x:c>
      <x:c r="B58" s="19" t="str">
        <x:v>2002年 一、填空第5题</x:v>
      </x:c>
      <x:c r="C58" s="19" t="str">
        <x:v>填空</x:v>
      </x:c>
      <x:c r="D58" s="20"/>
      <x:c r="E58" s="15" t="str">
        <x:v>床层压降、流化状态与异常</x:v>
      </x:c>
      <x:c r="F58" s="15" t="str">
        <x:v>|B1|</x:v>
      </x:c>
      <x:c r="G58" s="21" t="str">
        <x:v>流化床的医降随气速变化的大致规律是</x:v>
      </x:c>
      <x:c r="H58" s="15" t="str">
        <x:v>A</x:v>
      </x:c>
      <x:c r="I58" s="15" t="str">
        <x:v>13</x:v>
      </x:c>
      <x:c r="J58" s="15" t="str">
        <x:v>汇编题卷（未核实官方原卷）</x:v>
      </x:c>
      <x:c r="K58" s="22" t="str">
        <x:v>扫描题干摘录，公式与数值做题前核对原PDF。</x:v>
      </x:c>
    </x:row>
    <x:row r="59" ht="66" customHeight="1">
      <x:c r="A59" s="18" t="n">
        <x:v>2002</x:v>
      </x:c>
      <x:c r="B59" s="19" t="str">
        <x:v>2002年 一、填空第6题</x:v>
      </x:c>
      <x:c r="C59" s="19" t="str">
        <x:v>填空</x:v>
      </x:c>
      <x:c r="D59" s="20"/>
      <x:c r="E59" s="15" t="str">
        <x:v>颗粒粒径、沉降与降尘室</x:v>
      </x:c>
      <x:c r="F59" s="15" t="str">
        <x:v>|S1|</x:v>
      </x:c>
      <x:c r="G59" s="21" t="str">
        <x:v>含细水颗粒的气流在降尘室内除去小粒子（沉降在斯托克斯区)，正常情况下 能100%除去50um的粒子，现气体处理量增大一倍，原降尘室能100%除去的最 小粒径应为 μm。</x:v>
      </x:c>
      <x:c r="H59" s="15" t="str">
        <x:v>A</x:v>
      </x:c>
      <x:c r="I59" s="15" t="str">
        <x:v>13</x:v>
      </x:c>
      <x:c r="J59" s="15" t="str">
        <x:v>汇编题卷（未核实官方原卷）</x:v>
      </x:c>
      <x:c r="K59" s="22" t="str">
        <x:v>扫描题干摘录，公式与数值做题前核对原PDF。</x:v>
      </x:c>
    </x:row>
    <x:row r="60" ht="66" customHeight="1">
      <x:c r="A60" s="18" t="n">
        <x:v>2002</x:v>
      </x:c>
      <x:c r="B60" s="19" t="str">
        <x:v>2002年 一、填空第7题</x:v>
      </x:c>
      <x:c r="C60" s="19" t="str">
        <x:v>填空</x:v>
      </x:c>
      <x:c r="D60" s="20"/>
      <x:c r="E60" s="15" t="str">
        <x:v>流程选择、设备结构与强化</x:v>
      </x:c>
      <x:c r="F60" s="15" t="str">
        <x:v>|H5|H2|</x:v>
      </x:c>
      <x:c r="G60" s="21" t="str">
        <x:v>在设计列管式换热器中，设置折流挡板，以提高 程流速，设置隔板以提 高 程流速，以达到强化传热的目的。</x:v>
      </x:c>
      <x:c r="H60" s="15" t="str">
        <x:v>A</x:v>
      </x:c>
      <x:c r="I60" s="15" t="str">
        <x:v>13</x:v>
      </x:c>
      <x:c r="J60" s="15" t="str">
        <x:v>汇编题卷（未核实官方原卷）</x:v>
      </x:c>
      <x:c r="K60" s="22" t="str">
        <x:v>扫描题干摘录，公式与数值做题前核对原PDF。</x:v>
      </x:c>
    </x:row>
    <x:row r="61" ht="66" customHeight="1">
      <x:c r="A61" s="18" t="n">
        <x:v>2002</x:v>
      </x:c>
      <x:c r="B61" s="19" t="str">
        <x:v>2002年 一、填空第8题</x:v>
      </x:c>
      <x:c r="C61" s="19" t="str">
        <x:v>填空</x:v>
      </x:c>
      <x:c r="D61" s="20"/>
      <x:c r="E61" s="15" t="str">
        <x:v>总传热系数、热阻与壁温</x:v>
      </x:c>
      <x:c r="F61" s="15" t="str">
        <x:v>|H3|</x:v>
      </x:c>
      <x:c r="G61" s="21" t="str">
        <x:v>有一套管换热器，环隙有119.6℃蒸汽冷凝，管内空气从20C被加热到50%℃， 管壁温度应接近 °℃。</x:v>
      </x:c>
      <x:c r="H61" s="15" t="str">
        <x:v>A</x:v>
      </x:c>
      <x:c r="I61" s="15" t="str">
        <x:v>13</x:v>
      </x:c>
      <x:c r="J61" s="15" t="str">
        <x:v>汇编题卷（未核实官方原卷）</x:v>
      </x:c>
      <x:c r="K61" s="22" t="str">
        <x:v>扫描题干摘录，公式与数值做题前核对原PDF。</x:v>
      </x:c>
    </x:row>
    <x:row r="62" ht="66" customHeight="1">
      <x:c r="A62" s="18" t="n">
        <x:v>2002</x:v>
      </x:c>
      <x:c r="B62" s="19" t="str">
        <x:v>2002年 一、填空第9题</x:v>
      </x:c>
      <x:c r="C62" s="19" t="str">
        <x:v>填空</x:v>
      </x:c>
      <x:c r="D62" s="20"/>
      <x:c r="E62" s="15" t="str">
        <x:v>双膜理论、控制阻力与传质系数</x:v>
      </x:c>
      <x:c r="F62" s="15" t="str">
        <x:v>|A2|A1|A5|</x:v>
      </x:c>
      <x:c r="G62" s="21" t="str">
        <x:v>在一个逆流操作的吸收塔中，某截面上的气相浓度为y（摩尔分率，下同）液 相浓度为x，在一定温度下，气液相平关系为ye=mx如果降低吸收剂的温度，使 相平衡关系变为ye=m²x，假设该截面上的两相浓度及单相传质系数保持不变，则 传质总推动力 _，传质总阻力中气相传质阻力 液相传质阻力 _，传 质速率 _。(增大、减小、不变)</x:v>
      </x:c>
      <x:c r="H62" s="15" t="str">
        <x:v>A</x:v>
      </x:c>
      <x:c r="I62" s="15" t="str">
        <x:v>13、14</x:v>
      </x:c>
      <x:c r="J62" s="15" t="str">
        <x:v>汇编题卷（未核实官方原卷）</x:v>
      </x:c>
      <x:c r="K62" s="22" t="str">
        <x:v>扫描题干摘录，公式与数值做题前核对原PDF。</x:v>
      </x:c>
    </x:row>
    <x:row r="63" ht="66" customHeight="1">
      <x:c r="A63" s="18" t="n">
        <x:v>2002</x:v>
      </x:c>
      <x:c r="B63" s="19" t="str">
        <x:v>2002年 一、填空第10题</x:v>
      </x:c>
      <x:c r="C63" s="19" t="str">
        <x:v>填空</x:v>
      </x:c>
      <x:c r="D63" s="20"/>
      <x:c r="E63" s="15" t="str">
        <x:v>相平衡、相对挥发度与闪蒸</x:v>
      </x:c>
      <x:c r="F63" s="15" t="str">
        <x:v>|D1|</x:v>
      </x:c>
      <x:c r="G63" s="21" t="str">
        <x:v>某二元精馏塔，在塔顶第一块板上的液体中装有温度计，假设板上的液体与 上方气体处于平衡状态，如果保持操作压力不变，塔内混入一定量的惰性气体， 那么温度计读数 ，物系的相对挥发度</x:v>
      </x:c>
      <x:c r="H63" s="15" t="str">
        <x:v>A</x:v>
      </x:c>
      <x:c r="I63" s="15" t="str">
        <x:v>14</x:v>
      </x:c>
      <x:c r="J63" s="15" t="str">
        <x:v>汇编题卷（未核实官方原卷）</x:v>
      </x:c>
      <x:c r="K63" s="22" t="str">
        <x:v>扫描题干摘录，公式与数值做题前核对原PDF。</x:v>
      </x:c>
    </x:row>
    <x:row r="64" ht="66" customHeight="1">
      <x:c r="A64" s="18" t="n">
        <x:v>2002</x:v>
      </x:c>
      <x:c r="B64" s="19" t="str">
        <x:v>2002年 一、填空第11题</x:v>
      </x:c>
      <x:c r="C64" s="19" t="str">
        <x:v>填空</x:v>
      </x:c>
      <x:c r="D64" s="20"/>
      <x:c r="E64" s="15" t="str">
        <x:v>回流比、极限条件与操作分析</x:v>
      </x:c>
      <x:c r="F64" s="15" t="str">
        <x:v>|D4|</x:v>
      </x:c>
      <x:c r="G64" s="21" t="str">
        <x:v>如果精馏塔塔顶产品不合格，如何调节精馏塔操作，使产品合格，请列出三 种方案</x:v>
      </x:c>
      <x:c r="H64" s="15" t="str">
        <x:v>A</x:v>
      </x:c>
      <x:c r="I64" s="15" t="str">
        <x:v>14</x:v>
      </x:c>
      <x:c r="J64" s="15" t="str">
        <x:v>汇编题卷（未核实官方原卷）</x:v>
      </x:c>
      <x:c r="K64" s="22" t="str">
        <x:v>扫描题干摘录，公式与数值做题前核对原PDF。</x:v>
      </x:c>
    </x:row>
    <x:row r="65" ht="66" customHeight="1">
      <x:c r="A65" s="18" t="n">
        <x:v>2002</x:v>
      </x:c>
      <x:c r="B65" s="19" t="str">
        <x:v>2002年 一、填空第12题</x:v>
      </x:c>
      <x:c r="C65" s="19" t="str">
        <x:v>填空</x:v>
      </x:c>
      <x:c r="D65" s="20"/>
      <x:c r="E65" s="15" t="str">
        <x:v>分子扩散、费克定律与总体流动</x:v>
      </x:c>
      <x:c r="F65" s="15" t="str">
        <x:v>|M1|</x:v>
      </x:c>
      <x:c r="G65" s="21" t="str">
        <x:v>对流传质是分子扩散和涡流扩散共同作用的结果，对流传质与对流传热有相 似之处，强化对流传质可以考虑 和 手段。</x:v>
      </x:c>
      <x:c r="H65" s="15" t="str">
        <x:v>A</x:v>
      </x:c>
      <x:c r="I65" s="15" t="str">
        <x:v>14</x:v>
      </x:c>
      <x:c r="J65" s="15" t="str">
        <x:v>汇编题卷（未核实官方原卷）</x:v>
      </x:c>
      <x:c r="K65" s="22" t="str">
        <x:v>扫描题干摘录，公式与数值做题前核对原PDF。</x:v>
      </x:c>
    </x:row>
    <x:row r="66" ht="66" customHeight="1">
      <x:c r="A66" s="18" t="n">
        <x:v>2002</x:v>
      </x:c>
      <x:c r="B66" s="19" t="str">
        <x:v>2002年 一、填空第13题</x:v>
      </x:c>
      <x:c r="C66" s="19" t="str">
        <x:v>填空</x:v>
      </x:c>
      <x:c r="D66" s="20"/>
      <x:c r="E66" s="15" t="str">
        <x:v>选择性、分配系数与单级萃取</x:v>
      </x:c>
      <x:c r="F66" s="15" t="str">
        <x:v>|X1|</x:v>
      </x:c>
      <x:c r="G66" s="21" t="str">
        <x:v>某二元液体混合物AB的量为100kg，含溶质A50%（质量分率，下同），物 系的溶解度曲线及平衡连接线的内插辅助线如附图系，用纯溶剂S对其进行单 级萃取，溶剂量为100kg，则萃取液E'中A的维成为 ，萃余液R'中A的组 成为</x:v>
      </x:c>
      <x:c r="H66" s="15" t="str">
        <x:v>A</x:v>
      </x:c>
      <x:c r="I66" s="15" t="str">
        <x:v>14</x:v>
      </x:c>
      <x:c r="J66" s="15" t="str">
        <x:v>汇编题卷（未核实官方原卷）</x:v>
      </x:c>
      <x:c r="K66" s="22" t="str">
        <x:v>扫描题干摘录，公式与数值做题前核对原PDF。</x:v>
      </x:c>
    </x:row>
    <x:row r="67" ht="66" customHeight="1">
      <x:c r="A67" s="18" t="n">
        <x:v>2002</x:v>
      </x:c>
      <x:c r="B67" s="19" t="str">
        <x:v>2002年 一、填空第14题</x:v>
      </x:c>
      <x:c r="C67" s="19" t="str">
        <x:v>填空</x:v>
      </x:c>
      <x:c r="D67" s="20"/>
      <x:c r="E67" s="15" t="str">
        <x:v>板式 / 填料塔、液泛与负荷图</x:v>
      </x:c>
      <x:c r="F67" s="15" t="str">
        <x:v>|T1|</x:v>
      </x:c>
      <x:c r="G67" s="21" t="str">
        <x:v>某塔板的负荷性能图如右图所示，《为操作点，请说明该塔板的结构存在什 么缺点 。可以采取 等措施，改善该塔板的水力学性能。 A 0.9 0.8 0.7F 过量雾沫夹带线 0.5F 降液管液泛线 0.3 0.2 ro 0.10.2030.405060.7 0x0910 L 13.题图 14题图</x:v>
      </x:c>
      <x:c r="H67" s="15" t="str">
        <x:v>A</x:v>
      </x:c>
      <x:c r="I67" s="15" t="str">
        <x:v>14</x:v>
      </x:c>
      <x:c r="J67" s="15" t="str">
        <x:v>汇编题卷（未核实官方原卷）</x:v>
      </x:c>
      <x:c r="K67" s="22" t="str">
        <x:v>扫描题干摘录，公式与数值做题前核对原PDF。</x:v>
      </x:c>
    </x:row>
    <x:row r="68" ht="66" customHeight="1">
      <x:c r="A68" s="18" t="n">
        <x:v>2002</x:v>
      </x:c>
      <x:c r="B68" s="19" t="str">
        <x:v>2002年 二、计算</x:v>
      </x:c>
      <x:c r="C68" s="19" t="str">
        <x:v>计算</x:v>
      </x:c>
      <x:c r="D68" s="20" t="n">
        <x:v>13</x:v>
      </x:c>
      <x:c r="E68" s="15" t="str">
        <x:v>连续性、伯努利与管路计算</x:v>
      </x:c>
      <x:c r="F68" s="15" t="str">
        <x:v>|F2|F3|</x:v>
      </x:c>
      <x:c r="G68" s="21" t="str">
        <x:v>如图所示，管路由Φ57×3.5mm钢管组成，管长18m，有标准直角弯头两个 （=0.75），闸门阀一个（$=0.17)，直管摩擦系数为0.029，高位槽内水面距管路 出口的垂直距离为9m。维持高位槽内液面不变，试求： ↓ Pa H （1）管路出口流速及流量； （2）若在管路出口装一直径为25mm的喷嘴 ，喷嘴的局部阻力系数为=0.5，管 路出口流速和流量为多少？ (3）改变喷嘴尺寸，可能获得的最大喷出速度为多少？（设喷嘴（=0.5不变) （4）若将流体视为理想流体》安装喷嘴前后流量各为多少？</x:v>
      </x:c>
      <x:c r="H68" s="15" t="str">
        <x:v>A</x:v>
      </x:c>
      <x:c r="I68" s="15" t="str">
        <x:v>15</x:v>
      </x:c>
      <x:c r="J68" s="15" t="str">
        <x:v>汇编题卷（未核实官方原卷）</x:v>
      </x:c>
      <x:c r="K68" s="22" t="str">
        <x:v>扫描题干摘录，公式与数值做题前核对原PDF。</x:v>
      </x:c>
    </x:row>
    <x:row r="69" ht="66" customHeight="1">
      <x:c r="A69" s="18" t="n">
        <x:v>2002</x:v>
      </x:c>
      <x:c r="B69" s="19" t="str">
        <x:v>2002年 三、计算</x:v>
      </x:c>
      <x:c r="C69" s="19" t="str">
        <x:v>计算</x:v>
      </x:c>
      <x:c r="D69" s="20" t="n">
        <x:v>9</x:v>
      </x:c>
      <x:c r="E69" s="15" t="str">
        <x:v>洗涤、板框 / 转筒与生产能力</x:v>
      </x:c>
      <x:c r="F69" s="15" t="str">
        <x:v>|S4|S3|</x:v>
      </x:c>
      <x:c r="G69" s="21" t="str">
        <x:v>用板框滤机过滤某悬浮液。一个操作周期内过滤20分钟后,共得滤液4m²。 (滤饼不可压缩，介质阻力忽略不计，滤饼不洗涤)。若在一个操作周期内共用 去辅助时间为30分钟。求： （1）该机的生产能力; (2）若操作压力加倍，其它条件不变(物性、过滤面积、过滤与辅助时间不变)， 该机的生产能力提高了多少？ （3）现改用回转真空过滤机，其转速为1转/mim，若生产能力与（1）相同， 则其在一个周期内所得滤液量为多少?</x:v>
      </x:c>
      <x:c r="H69" s="15" t="str">
        <x:v>A</x:v>
      </x:c>
      <x:c r="I69" s="15" t="str">
        <x:v>15</x:v>
      </x:c>
      <x:c r="J69" s="15" t="str">
        <x:v>汇编题卷（未核实官方原卷）</x:v>
      </x:c>
      <x:c r="K69" s="22" t="str">
        <x:v>扫描题干摘录，公式与数值做题前核对原PDF。</x:v>
      </x:c>
    </x:row>
    <x:row r="70" ht="66" customHeight="1">
      <x:c r="A70" s="18" t="n">
        <x:v>2002</x:v>
      </x:c>
      <x:c r="B70" s="19" t="str">
        <x:v>2002年 四、计算</x:v>
      </x:c>
      <x:c r="C70" s="19" t="str">
        <x:v>计算</x:v>
      </x:c>
      <x:c r="D70" s="20" t="n">
        <x:v>13</x:v>
      </x:c>
      <x:c r="E70" s="15" t="str">
        <x:v>换热器设计、校核与操作计算</x:v>
      </x:c>
      <x:c r="F70" s="15" t="str">
        <x:v>|H4|H2|H3|</x:v>
      </x:c>
      <x:c r="G70" s="21" t="str">
        <x:v>的流速在管内流过，管子规格为Φ38×2.5mm，总管数为200根。已知空气进口 温度为26℃，要求空气出口温度为86℃，蒸汽侧的传热系数为2.41×10°w/ （m²·℃），管壁和污垢热阻可以忽略，试求： （1）该换热器的管长应为多少？ （2）若气体处理量、进口温度、管长均保持不交，而管径增大为Φ54x2mm，总 管数减少20%，此时的出温度为多少？（不计出口温度变化对物性的影响，忽略 热损失)。 （3）定性温度下空气的物性数据如下：Cp=1.005kJ/（kg·K） 07kg/m3 μ=0.0199cP，入=0.0287W/(m·K)，P=0.697。</x:v>
      </x:c>
      <x:c r="H70" s="15" t="str">
        <x:v>A</x:v>
      </x:c>
      <x:c r="I70" s="15" t="str">
        <x:v>15、16</x:v>
      </x:c>
      <x:c r="J70" s="15" t="str">
        <x:v>汇编题卷（未核实官方原卷）</x:v>
      </x:c>
      <x:c r="K70" s="22" t="str">
        <x:v>扫描题干摘录，公式与数值做题前核对原PDF。</x:v>
      </x:c>
    </x:row>
    <x:row r="71" ht="66" customHeight="1">
      <x:c r="A71" s="18" t="n">
        <x:v>2002</x:v>
      </x:c>
      <x:c r="B71" s="19" t="str">
        <x:v>2002年 五、计算</x:v>
      </x:c>
      <x:c r="C71" s="19" t="str">
        <x:v>计算</x:v>
      </x:c>
      <x:c r="D71" s="20" t="n">
        <x:v>18</x:v>
      </x:c>
      <x:c r="E71" s="15" t="str">
        <x:v>传质单元、填料高度与理论级</x:v>
      </x:c>
      <x:c r="F71" s="15" t="str">
        <x:v>|A4|A3|A5|</x:v>
      </x:c>
      <x:c r="G71" s="21" t="str">
        <x:v>在某逆流操作吸收塔内，用洗油吸收煤气中的 入塔煤气含苯0.02（摩尔 分率，下同)。当液气比()_为0.2，洗油入口度为0.005时，出塔煤气的残余 浓度为0.001。吸收操作的相平衡关系为多015x。吸收塔底排出的洗油，在解 吸塔内用过热蒸汽解吸,解吸后的涉油电含苯浓度为0.005,解吸塔的气液比() 为0.35，解吸操作的相平衡 系为ye=3.5x。吸收塔操作温度低，过程可视为气 X1Yim y2股 X2 吸 解 收 吸 塔 塔 Y吸 X1 X2 y2m 试求： （1） 吸收塔中，完成苯吸收任务所需的理论板数； （2）若保持吸收塔洗油入口浓度x2不变，增大液气比，所能达到的最大吸收率; （3）现欲将吸收塔出塔煤气的含苯浓度降为0</x:v>
      </x:c>
      <x:c r="H71" s="15" t="str">
        <x:v>A</x:v>
      </x:c>
      <x:c r="I71" s="15" t="str">
        <x:v>16、17</x:v>
      </x:c>
      <x:c r="J71" s="15" t="str">
        <x:v>汇编题卷（未核实官方原卷）</x:v>
      </x:c>
      <x:c r="K71" s="22" t="str">
        <x:v>扫描题干摘录，公式与数值做题前核对原PDF。</x:v>
      </x:c>
    </x:row>
    <x:row r="72" ht="66" customHeight="1">
      <x:c r="A72" s="18" t="n">
        <x:v>2002</x:v>
      </x:c>
      <x:c r="B72" s="19" t="str">
        <x:v>2002年 六、计算</x:v>
      </x:c>
      <x:c r="C72" s="19" t="str">
        <x:v>计算</x:v>
      </x:c>
      <x:c r="D72" s="20" t="n">
        <x:v>17</x:v>
      </x:c>
      <x:c r="E72" s="15" t="str">
        <x:v>逐板计算、理论板与板效率</x:v>
      </x:c>
      <x:c r="F72" s="15" t="str">
        <x:v>|D3|D2|D4|D1|</x:v>
      </x:c>
      <x:c r="G72" s="21" t="str">
        <x:v>一精馏塔有3块理论板（包括塔釜)，含苯摩尔分率为0.5的苯-申苯混合液 预热至泡点，连续加入塔的第2块板上，塔顶采用全凝器，回流比R=3，塔顶产 品的采出率D/F=0.273。物系的相对挥发度α=2。试求： （1）操作可得的塔顶、塔底产品组成xp、Xw。 （2）最小回流比Rmin° （3）讨论影响最小回流比的影响因素。 研中心</x:v>
      </x:c>
      <x:c r="H72" s="15" t="str">
        <x:v>A</x:v>
      </x:c>
      <x:c r="I72" s="15" t="str">
        <x:v>17</x:v>
      </x:c>
      <x:c r="J72" s="15" t="str">
        <x:v>汇编题卷（未核实官方原卷）</x:v>
      </x:c>
      <x:c r="K72" s="22" t="str">
        <x:v>扫描题干摘录，公式与数值做题前核对原PDF。</x:v>
      </x:c>
    </x:row>
    <x:row r="73" ht="66" customHeight="1">
      <x:c r="A73" s="18" t="n">
        <x:v>2003</x:v>
      </x:c>
      <x:c r="B73" s="19" t="str">
        <x:v>2003年 一、填空第1题</x:v>
      </x:c>
      <x:c r="C73" s="19" t="str">
        <x:v>填空</x:v>
      </x:c>
      <x:c r="D73" s="20"/>
      <x:c r="E73" s="15" t="str">
        <x:v>黏性、Re、流型与管路阻力</x:v>
      </x:c>
      <x:c r="F73" s="15" t="str">
        <x:v>|F3|</x:v>
      </x:c>
      <x:c r="G73" s="21" t="str">
        <x:v>流体在管内作层流流动，若仅增大管径 （流速 则摩擦系数变 直管阻力变 ，计算局部阻力的当量长度变</x:v>
      </x:c>
      <x:c r="H73" s="15" t="str">
        <x:v>A</x:v>
      </x:c>
      <x:c r="I73" s="15" t="str">
        <x:v>18</x:v>
      </x:c>
      <x:c r="J73" s="15" t="str">
        <x:v>汇编题卷（未核实官方原卷）</x:v>
      </x:c>
      <x:c r="K73" s="22" t="str">
        <x:v>扫描题干摘录，公式与数值做题前核对原PDF。</x:v>
      </x:c>
    </x:row>
    <x:row r="74" ht="66" customHeight="1">
      <x:c r="A74" s="18" t="n">
        <x:v>2003</x:v>
      </x:c>
      <x:c r="B74" s="19" t="str">
        <x:v>2003年 一、填空第2题</x:v>
      </x:c>
      <x:c r="C74" s="19" t="str">
        <x:v>填空</x:v>
      </x:c>
      <x:c r="D74" s="20"/>
      <x:c r="E74" s="15" t="str">
        <x:v>连续性、伯努利与管路计算</x:v>
      </x:c>
      <x:c r="F74" s="15" t="str">
        <x:v>|F2|</x:v>
      </x:c>
      <x:c r="G74" s="21" t="str">
        <x:v>经典形式的伯努利方程的应用条件是：</x:v>
      </x:c>
      <x:c r="H74" s="15" t="str">
        <x:v>A</x:v>
      </x:c>
      <x:c r="I74" s="15" t="str">
        <x:v>18</x:v>
      </x:c>
      <x:c r="J74" s="15" t="str">
        <x:v>汇编题卷（未核实官方原卷）</x:v>
      </x:c>
      <x:c r="K74" s="22" t="str">
        <x:v>扫描题干摘录，公式与数值做题前核对原PDF。</x:v>
      </x:c>
    </x:row>
    <x:row r="75" ht="66" customHeight="1">
      <x:c r="A75" s="18" t="n">
        <x:v>2003</x:v>
      </x:c>
      <x:c r="B75" s="19" t="str">
        <x:v>2003年 一、填空第3题</x:v>
      </x:c>
      <x:c r="C75" s="19" t="str">
        <x:v>填空</x:v>
      </x:c>
      <x:c r="D75" s="20"/>
      <x:c r="E75" s="15" t="str">
        <x:v>测速管、孔板与转子流量计</x:v>
      </x:c>
      <x:c r="F75" s="15" t="str">
        <x:v>|F5|</x:v>
      </x:c>
      <x:c r="G75" s="21" t="str">
        <x:v>一转子流量计，当流过水的流量为1m?/h时，测定该流量计进出口压力降为</x:v>
      </x:c>
      <x:c r="H75" s="15" t="str">
        <x:v>A</x:v>
      </x:c>
      <x:c r="I75" s="15" t="str">
        <x:v>18</x:v>
      </x:c>
      <x:c r="J75" s="15" t="str">
        <x:v>汇编题卷（未核实官方原卷）</x:v>
      </x:c>
      <x:c r="K75" s="22" t="str">
        <x:v>扫描题干摘录，公式与数值做题前核对原PDF。</x:v>
      </x:c>
    </x:row>
    <x:row r="76" ht="66" customHeight="1">
      <x:c r="A76" s="18" t="n">
        <x:v>2003</x:v>
      </x:c>
      <x:c r="B76" s="19" t="str">
        <x:v>2003年 一、填空第4题</x:v>
      </x:c>
      <x:c r="C76" s="19" t="str">
        <x:v>填空</x:v>
      </x:c>
      <x:c r="D76" s="20"/>
      <x:c r="E76" s="15" t="str">
        <x:v>泵特性、工作点、调节与功率</x:v>
      </x:c>
      <x:c r="F76" s="15" t="str">
        <x:v>|P1|</x:v>
      </x:c>
      <x:c r="G76" s="21" t="str">
        <x:v>在如图的管路中，离心泵子额定点下操作。当调节阀门使流量增加时，则泵 前真空表读数 泵后压力表读数 ，泵的扬程 ，泵的轴功率 泵的效率 A．升高； B.降低； C．不变; D．不确定</x:v>
      </x:c>
      <x:c r="H76" s="15" t="str">
        <x:v>A</x:v>
      </x:c>
      <x:c r="I76" s="15" t="str">
        <x:v>18</x:v>
      </x:c>
      <x:c r="J76" s="15" t="str">
        <x:v>汇编题卷（未核实官方原卷）</x:v>
      </x:c>
      <x:c r="K76" s="22" t="str">
        <x:v>扫描题干摘录，公式与数值做题前核对原PDF。</x:v>
      </x:c>
    </x:row>
    <x:row r="77" ht="66" customHeight="1">
      <x:c r="A77" s="18" t="n">
        <x:v>2003</x:v>
      </x:c>
      <x:c r="B77" s="19" t="str">
        <x:v>2003年 一、填空第5题</x:v>
      </x:c>
      <x:c r="C77" s="19" t="str">
        <x:v>填空</x:v>
      </x:c>
      <x:c r="D77" s="20"/>
      <x:c r="E77" s="15" t="str">
        <x:v>汽蚀、气缚、安装与开停</x:v>
      </x:c>
      <x:c r="F77" s="15" t="str">
        <x:v>|P2|</x:v>
      </x:c>
      <x:c r="G77" s="21" t="str">
        <x:v>离心泵的允许安装高度，随液体温度的升高而 ，随吸入罐上方压强的升 高而 ，随流量的增加而</x:v>
      </x:c>
      <x:c r="H77" s="15" t="str">
        <x:v>A</x:v>
      </x:c>
      <x:c r="I77" s="15" t="str">
        <x:v>18</x:v>
      </x:c>
      <x:c r="J77" s="15" t="str">
        <x:v>汇编题卷（未核实官方原卷）</x:v>
      </x:c>
      <x:c r="K77" s="22" t="str">
        <x:v>扫描题干摘录，公式与数值做题前核对原PDF。</x:v>
      </x:c>
    </x:row>
    <x:row r="78" ht="66" customHeight="1">
      <x:c r="A78" s="18" t="n">
        <x:v>2003</x:v>
      </x:c>
      <x:c r="B78" s="19" t="str">
        <x:v>2003年 一、填空第6题</x:v>
      </x:c>
      <x:c r="C78" s="19" t="str">
        <x:v>填空</x:v>
      </x:c>
      <x:c r="D78" s="20"/>
      <x:c r="E78" s="15" t="str">
        <x:v>颗粒粒径、沉降与降尘室</x:v>
      </x:c>
      <x:c r="F78" s="15" t="str">
        <x:v>|S1|</x:v>
      </x:c>
      <x:c r="G78" s="21" t="str">
        <x:v>某含尘气体中尘粒的自由沉降速度为0.025m/s，降尘室的尺寸为长×宽×高 =4x3x1m²，则该室的最大生产能力应为</x:v>
      </x:c>
      <x:c r="H78" s="15" t="str">
        <x:v>A</x:v>
      </x:c>
      <x:c r="I78" s="15" t="str">
        <x:v>19</x:v>
      </x:c>
      <x:c r="J78" s="15" t="str">
        <x:v>汇编题卷（未核实官方原卷）</x:v>
      </x:c>
      <x:c r="K78" s="22" t="str">
        <x:v>扫描题干摘录，公式与数值做题前核对原PDF。</x:v>
      </x:c>
    </x:row>
    <x:row r="79" ht="66" customHeight="1">
      <x:c r="A79" s="18" t="n">
        <x:v>2003</x:v>
      </x:c>
      <x:c r="B79" s="19" t="str">
        <x:v>2003年 一、填空第7题</x:v>
      </x:c>
      <x:c r="C79" s="19" t="str">
        <x:v>填空</x:v>
      </x:c>
      <x:c r="D79" s="20"/>
      <x:c r="E79" s="15" t="str">
        <x:v>床层压降、流化状态与异常</x:v>
      </x:c>
      <x:c r="F79" s="15" t="str">
        <x:v>|B1|</x:v>
      </x:c>
      <x:c r="G79" s="21" t="str">
        <x:v>在固体流态化的操作过程中，增大流体的流速，则流化床的总压降AP将 (增大、减小、不变)。</x:v>
      </x:c>
      <x:c r="H79" s="15" t="str">
        <x:v>A</x:v>
      </x:c>
      <x:c r="I79" s="15" t="str">
        <x:v>19</x:v>
      </x:c>
      <x:c r="J79" s="15" t="str">
        <x:v>汇编题卷（未核实官方原卷）</x:v>
      </x:c>
      <x:c r="K79" s="22" t="str">
        <x:v>扫描题干摘录，公式与数值做题前核对原PDF。</x:v>
      </x:c>
    </x:row>
    <x:row r="80" ht="66" customHeight="1">
      <x:c r="A80" s="18" t="n">
        <x:v>2003</x:v>
      </x:c>
      <x:c r="B80" s="19" t="str">
        <x:v>2003年 一、填空第8题</x:v>
      </x:c>
      <x:c r="C80" s="19" t="str">
        <x:v>填空</x:v>
      </x:c>
      <x:c r="D80" s="20"/>
      <x:c r="E80" s="15" t="str">
        <x:v>导热、保温与临界直径</x:v>
      </x:c>
      <x:c r="F80" s="15" t="str">
        <x:v>|H1|</x:v>
      </x:c>
      <x:c r="G80" s="21" t="str">
        <x:v>将两层厚度相同、导热系数不同的保温材料包在圆形管道上，应该将导热系 数 （大、小）的材料包在内层，其原因是</x:v>
      </x:c>
      <x:c r="H80" s="15" t="str">
        <x:v>A</x:v>
      </x:c>
      <x:c r="I80" s="15" t="str">
        <x:v>19</x:v>
      </x:c>
      <x:c r="J80" s="15" t="str">
        <x:v>汇编题卷（未核实官方原卷）</x:v>
      </x:c>
      <x:c r="K80" s="22" t="str">
        <x:v>扫描题干摘录，公式与数值做题前核对原PDF。</x:v>
      </x:c>
    </x:row>
    <x:row r="81" ht="66" customHeight="1">
      <x:c r="A81" s="18" t="n">
        <x:v>2003</x:v>
      </x:c>
      <x:c r="B81" s="19" t="str">
        <x:v>2003年 一、填空第9题</x:v>
      </x:c>
      <x:c r="C81" s="19" t="str">
        <x:v>填空</x:v>
      </x:c>
      <x:c r="D81" s="20"/>
      <x:c r="E81" s="15" t="str">
        <x:v>亨利定律、平衡与传质方向</x:v>
      </x:c>
      <x:c r="F81" s="15" t="str">
        <x:v>|A1|A5|</x:v>
      </x:c>
      <x:c r="G81" s="21" t="str">
        <x:v>某气体吸收过程，用气相组成和液相组成表示的总传质推动力分别为△yx， 如果其他条件不变，系统温度升高，则Ay将 (升高、降低、不变)：如果 其他条件不变，系统总压略有升高，则△x将 解吸过程与吸收过程类似，只是传质方向相反，那么解吸过程适合在 温、 （低、高）压下操作。</x:v>
      </x:c>
      <x:c r="H81" s="15" t="str">
        <x:v>A</x:v>
      </x:c>
      <x:c r="I81" s="15" t="str">
        <x:v>19</x:v>
      </x:c>
      <x:c r="J81" s="15" t="str">
        <x:v>汇编题卷（未核实官方原卷）</x:v>
      </x:c>
      <x:c r="K81" s="22" t="str">
        <x:v>扫描题干摘录，公式与数值做题前核对原PDF。</x:v>
      </x:c>
    </x:row>
    <x:row r="82" ht="66" customHeight="1">
      <x:c r="A82" s="18" t="n">
        <x:v>2003</x:v>
      </x:c>
      <x:c r="B82" s="19" t="str">
        <x:v>2003年 一、填空第10题</x:v>
      </x:c>
      <x:c r="C82" s="19" t="str">
        <x:v>填空</x:v>
      </x:c>
      <x:c r="D82" s="20"/>
      <x:c r="E82" s="15" t="str">
        <x:v>吸收 / 解吸的操作变化与强化</x:v>
      </x:c>
      <x:c r="F82" s="15" t="str">
        <x:v>|A5|A4|</x:v>
      </x:c>
      <x:c r="G82" s="21" t="str">
        <x:v>某填料吸收塔，用溶剂对某低浓度难溶气体进行逆流吸，如米层度、溶剂用 量和其他操作条件不变，入口气体量增加，则气相感缓质单元数NoG将：， 出口气体的组成ya将 。(增加、减少、不变)</x:v>
      </x:c>
      <x:c r="H82" s="15" t="str">
        <x:v>A</x:v>
      </x:c>
      <x:c r="I82" s="15" t="str">
        <x:v>19</x:v>
      </x:c>
      <x:c r="J82" s="15" t="str">
        <x:v>汇编题卷（未核实官方原卷）</x:v>
      </x:c>
      <x:c r="K82" s="22" t="str">
        <x:v>扫描题干摘录，公式与数值做题前核对原PDF。</x:v>
      </x:c>
    </x:row>
    <x:row r="83" ht="66" customHeight="1">
      <x:c r="A83" s="18" t="n">
        <x:v>2003</x:v>
      </x:c>
      <x:c r="B83" s="19" t="str">
        <x:v>2003年 一、填空第11题</x:v>
      </x:c>
      <x:c r="C83" s="19" t="str">
        <x:v>填空</x:v>
      </x:c>
      <x:c r="D83" s="20"/>
      <x:c r="E83" s="15" t="str">
        <x:v>回流比、极限条件与操作分析</x:v>
      </x:c>
      <x:c r="F83" s="15" t="str">
        <x:v>|D4|D3|</x:v>
      </x:c>
      <x:c r="G83" s="21" t="str">
        <x:v>某连续精馏塔中，若精馏段操作线方程的截距等于零，则： (1) 回流比等于 （2） 馏出液量等于 (3) 操作线斜率等承 （4）理论塔板数</x:v>
      </x:c>
      <x:c r="H83" s="15" t="str">
        <x:v>A</x:v>
      </x:c>
      <x:c r="I83" s="15" t="str">
        <x:v>19</x:v>
      </x:c>
      <x:c r="J83" s="15" t="str">
        <x:v>汇编题卷（未核实官方原卷）</x:v>
      </x:c>
      <x:c r="K83" s="22" t="str">
        <x:v>扫描题干摘录，公式与数值做题前核对原PDF。</x:v>
      </x:c>
    </x:row>
    <x:row r="84" ht="66" customHeight="1">
      <x:c r="A84" s="18" t="n">
        <x:v>2003</x:v>
      </x:c>
      <x:c r="B84" s="19" t="str">
        <x:v>2003年 一、填空第12题</x:v>
      </x:c>
      <x:c r="C84" s="19" t="str">
        <x:v>填空</x:v>
      </x:c>
      <x:c r="D84" s="20"/>
      <x:c r="E84" s="15" t="str">
        <x:v>相平衡、相对挥发度与闪蒸</x:v>
      </x:c>
      <x:c r="F84" s="15" t="str">
        <x:v>|D1|</x:v>
      </x:c>
      <x:c r="G84" s="21" t="str">
        <x:v>蒸馏塔的塔顶温度总 塔釜温度（高于、低于、等于)，其原因之一是 原因之二是</x:v>
      </x:c>
      <x:c r="H84" s="15" t="str">
        <x:v>A</x:v>
      </x:c>
      <x:c r="I84" s="15" t="str">
        <x:v>19</x:v>
      </x:c>
      <x:c r="J84" s="15" t="str">
        <x:v>汇编题卷（未核实官方原卷）</x:v>
      </x:c>
      <x:c r="K84" s="22" t="str">
        <x:v>扫描题干摘录，公式与数值做题前核对原PDF。</x:v>
      </x:c>
    </x:row>
    <x:row r="85" ht="66" customHeight="1">
      <x:c r="A85" s="18" t="n">
        <x:v>2003</x:v>
      </x:c>
      <x:c r="B85" s="19" t="str">
        <x:v>2003年 一、填空第13题</x:v>
      </x:c>
      <x:c r="C85" s="19" t="str">
        <x:v>填空</x:v>
      </x:c>
      <x:c r="D85" s="20"/>
      <x:c r="E85" s="15" t="str">
        <x:v>精馏衡算、操作线与进料热状态</x:v>
      </x:c>
      <x:c r="F85" s="15" t="str">
        <x:v>|D2|</x:v>
      </x:c>
      <x:c r="G85" s="21" t="str">
        <x:v>二元溶液连续精馏计算中，进料热状态的变化将引起 线的交化（多项 选择厂 A.相平衡线 B.精馏段操作线 C.提馏段操作线 D.q线</x:v>
      </x:c>
      <x:c r="H85" s="15" t="str">
        <x:v>A</x:v>
      </x:c>
      <x:c r="I85" s="15" t="str">
        <x:v>19</x:v>
      </x:c>
      <x:c r="J85" s="15" t="str">
        <x:v>汇编题卷（未核实官方原卷）</x:v>
      </x:c>
      <x:c r="K85" s="22" t="str">
        <x:v>扫描题干摘录，公式与数值做题前核对原PDF。</x:v>
      </x:c>
    </x:row>
    <x:row r="86" ht="66" customHeight="1">
      <x:c r="A86" s="18" t="n">
        <x:v>2003</x:v>
      </x:c>
      <x:c r="B86" s="19" t="str">
        <x:v>2003年 一、填空第14题</x:v>
      </x:c>
      <x:c r="C86" s="19" t="str">
        <x:v>填空</x:v>
      </x:c>
      <x:c r="D86" s="20"/>
      <x:c r="E86" s="15" t="str">
        <x:v>选择性、分配系数与单级萃取</x:v>
      </x:c>
      <x:c r="F86" s="15" t="str">
        <x:v>|X1|</x:v>
      </x:c>
      <x:c r="G86" s="21" t="str">
        <x:v>萃取过程是分离液相混合物的常见单元操作，它的分离依据是什么？ 因为萃取相和萃余相都是均相混合物，要想得到最终产品，还要用蒸馏等方法对 萃取相和萃余相进一步分离，所以完整的萃取过程比蒸馏过程更为复杂。那么， 请简述一下在什么情况下采用萃取操作比直接蒸馏更合适：</x:v>
      </x:c>
      <x:c r="H86" s="15" t="str">
        <x:v>A</x:v>
      </x:c>
      <x:c r="I86" s="15" t="str">
        <x:v>19</x:v>
      </x:c>
      <x:c r="J86" s="15" t="str">
        <x:v>汇编题卷（未核实官方原卷）</x:v>
      </x:c>
      <x:c r="K86" s="22" t="str">
        <x:v>扫描题干摘录，公式与数值做题前核对原PDF。</x:v>
      </x:c>
    </x:row>
    <x:row r="87" ht="66" customHeight="1">
      <x:c r="A87" s="18" t="n">
        <x:v>2003</x:v>
      </x:c>
      <x:c r="B87" s="19" t="str">
        <x:v>2003年 一、填空第15题</x:v>
      </x:c>
      <x:c r="C87" s="19" t="str">
        <x:v>填空</x:v>
      </x:c>
      <x:c r="D87" s="20"/>
      <x:c r="E87" s="15" t="str">
        <x:v>板式 / 填料塔、液泛与负荷图</x:v>
      </x:c>
      <x:c r="F87" s="15" t="str">
        <x:v>|T1|</x:v>
      </x:c>
      <x:c r="G87" s="21" t="str">
        <x:v>板式塔是重要的气液传质设备，请简要叙述评价塔板性能的几个主要指标 （至少说出三个指标）</x:v>
      </x:c>
      <x:c r="H87" s="15" t="str">
        <x:v>A</x:v>
      </x:c>
      <x:c r="I87" s="15" t="str">
        <x:v>19、20</x:v>
      </x:c>
      <x:c r="J87" s="15" t="str">
        <x:v>汇编题卷（未核实官方原卷）</x:v>
      </x:c>
      <x:c r="K87" s="22" t="str">
        <x:v>扫描题干摘录，公式与数值做题前核对原PDF。</x:v>
      </x:c>
    </x:row>
    <x:row r="88" ht="66" customHeight="1">
      <x:c r="A88" s="18" t="n">
        <x:v>2003</x:v>
      </x:c>
      <x:c r="B88" s="19" t="str">
        <x:v>2003年 二、计算</x:v>
      </x:c>
      <x:c r="C88" s="19" t="str">
        <x:v>计算</x:v>
      </x:c>
      <x:c r="D88" s="20" t="n">
        <x:v>20</x:v>
      </x:c>
      <x:c r="E88" s="15" t="str">
        <x:v>连续性、伯努利与管路计算</x:v>
      </x:c>
      <x:c r="F88" s="15" t="str">
        <x:v>|F2|P1|F3|F1|</x:v>
      </x:c>
      <x:c r="G88" s="21" t="str">
        <x:v>用一离心泵将密度为1000kg/m?的溶液从池A抽出，经一主管后分成两个支 管：支管1去罐C，支管2去容器D。已知罐C的真空度为367.8mmHg，容器 D 的表压为0.01962MPa,两容器之间液面差为7m。泵的特性曲线为H=35-14.4Q2 (H一m，Q一m²/min）。两支管的数据如下表： 支管1 支管2 支管总长（包括当量长度） 42.9 100 管内径（mm） 50 100 摩擦系数 0.021 001 现将一U形管压差计（内装四氯化碳，密度为1603kg/m3）接到支管1上长4m 的直管段的两端，其读数为0.142m，试求： 1．两支管的流量比V2/V1; 2．泵的有效功率（kW)。 4m 7m D 支管1 CCI4</x:v>
      </x:c>
      <x:c r="H88" s="15" t="str">
        <x:v>A</x:v>
      </x:c>
      <x:c r="I88" s="15" t="str">
        <x:v>20</x:v>
      </x:c>
      <x:c r="J88" s="15" t="str">
        <x:v>汇编题卷（未核实官方原卷）</x:v>
      </x:c>
      <x:c r="K88" s="22" t="str">
        <x:v>扫描题干摘录，公式与数值做题前核对原PDF。</x:v>
      </x:c>
    </x:row>
    <x:row r="89" ht="66" customHeight="1">
      <x:c r="A89" s="18" t="n">
        <x:v>2003</x:v>
      </x:c>
      <x:c r="B89" s="19" t="str">
        <x:v>2003年 三、计算</x:v>
      </x:c>
      <x:c r="C89" s="19" t="str">
        <x:v>计算</x:v>
      </x:c>
      <x:c r="D89" s="20" t="n">
        <x:v>15</x:v>
      </x:c>
      <x:c r="E89" s="15" t="str">
        <x:v>洗涤、板框 / 转筒与生产能力</x:v>
      </x:c>
      <x:c r="F89" s="15" t="str">
        <x:v>|S4|S3|</x:v>
      </x:c>
      <x:c r="G89" s="21" t="str">
        <x:v>用一过滤面积为25m²的板框过滤机在1.5kgf/cm²的表压下对，某悬浮液进 行恒压过滤，在该操作条件下的过滤常数K=1.5×10-5m2/s，滤饼与滤液体积之比 C=0.12m2/m²，装卸时间需30min，滤饼不可压缩，过滤介质可忽略不计。 (1) 求过滤36min后所得的滤液量； (2) 若用滤液量的10%（体积百分比）的洗水，在相同压力下对滤饼进行横穿 洗涤，洗水粘度近似与滤液粘度相等，求在一个最佳过滤周期内所获得的滤饼体 积。</x:v>
      </x:c>
      <x:c r="H89" s="15" t="str">
        <x:v>A</x:v>
      </x:c>
      <x:c r="I89" s="15" t="str">
        <x:v>20、21</x:v>
      </x:c>
      <x:c r="J89" s="15" t="str">
        <x:v>汇编题卷（未核实官方原卷）</x:v>
      </x:c>
      <x:c r="K89" s="22" t="str">
        <x:v>扫描题干摘录，公式与数值做题前核对原PDF。</x:v>
      </x:c>
    </x:row>
    <x:row r="90" ht="66" customHeight="1">
      <x:c r="A90" s="18" t="n">
        <x:v>2003</x:v>
      </x:c>
      <x:c r="B90" s="19" t="str">
        <x:v>2003年 四、计算</x:v>
      </x:c>
      <x:c r="C90" s="19" t="str">
        <x:v>计算</x:v>
      </x:c>
      <x:c r="D90" s="20" t="n">
        <x:v>20</x:v>
      </x:c>
      <x:c r="E90" s="15" t="str">
        <x:v>换热器设计、校核与操作计算</x:v>
      </x:c>
      <x:c r="F90" s="15" t="str">
        <x:v>|H4|H5|</x:v>
      </x:c>
      <x:c r="G90" s="21" t="str">
        <x:v>柴油与原油在由A、B两套管组成的换热系统中进行热量交换，流程如图， 原油在两套管中等量分配。已知原油及柴油的进出口温度分别为t=40℃， t=100℃,T=170℃,T2=50℃,且两流体均不发生相变化，两流体的比热为恒量。 若A、B两台换热器传热面积及传热系数相等，且热损失可忽略不计。 (1) 试比较两台换热器的传热单元数NTU及传热效率ε的大小; （2） 试求出口温度ta、tb、T及两换热器传热能力之比QA/QB。 T 柴油mCp1 A In 原油mCp B T2</x:v>
      </x:c>
      <x:c r="H90" s="15" t="str">
        <x:v>A</x:v>
      </x:c>
      <x:c r="I90" s="15" t="str">
        <x:v>21</x:v>
      </x:c>
      <x:c r="J90" s="15" t="str">
        <x:v>汇编题卷（未核实官方原卷）</x:v>
      </x:c>
      <x:c r="K90" s="22" t="str">
        <x:v>扫描题干摘录，公式与数值做题前核对原PDF。</x:v>
      </x:c>
    </x:row>
    <x:row r="91" ht="66" customHeight="1">
      <x:c r="A91" s="18" t="n">
        <x:v>2003</x:v>
      </x:c>
      <x:c r="B91" s="19" t="str">
        <x:v>2003年 五、计算</x:v>
      </x:c>
      <x:c r="C91" s="19" t="str">
        <x:v>计算</x:v>
      </x:c>
      <x:c r="D91" s="20" t="n">
        <x:v>27</x:v>
      </x:c>
      <x:c r="E91" s="15" t="str">
        <x:v>传质单元、填料高度与理论级</x:v>
      </x:c>
      <x:c r="F91" s="15" t="str">
        <x:v>|A4|A3|A5|</x:v>
      </x:c>
      <x:c r="G91" s="21" t="str">
        <x:v>某填料吸收塔 （如图所示） 角清水逆流吸收某二元工业尾气中的有害组分 A，已知填料层高4m，入塔驾体的浓度yi=0.02（摩尔分率，下同)，溶剂对A组 分的吸收率为80%，出塔液相的组成x=0.008，并且还知道操作条件下的气液相 平衡关系为y*=lx， 现在求： Y2， X2，L Y1， X1.L （1）气相总传质单元高度HoG； （2） 操作液气比（L/V）为最小液气比（L/V）min的多少倍； （3）由于法定气体排放浓度ya必须≤0.002，所以拟将填料层加高，若液气比和 气、液相进口组成不变，问填料应层应加高多少? （4）如果该混合气经吸收后，出塔浓度仍然达不到环保要求，请问可以采取哪 些措施提高溶剂对A组分的回收率？</x:v>
      </x:c>
      <x:c r="H91" s="15" t="str">
        <x:v>A</x:v>
      </x:c>
      <x:c r="I91" s="15" t="str">
        <x:v>21、22</x:v>
      </x:c>
      <x:c r="J91" s="15" t="str">
        <x:v>汇编题卷（未核实官方原卷）</x:v>
      </x:c>
      <x:c r="K91" s="22" t="str">
        <x:v>扫描题干摘录，公式与数值做题前核对原PDF。</x:v>
      </x:c>
    </x:row>
    <x:row r="92" ht="66" customHeight="1">
      <x:c r="A92" s="18" t="n">
        <x:v>2003</x:v>
      </x:c>
      <x:c r="B92" s="19" t="str">
        <x:v>2003年 六、计算</x:v>
      </x:c>
      <x:c r="C92" s="19" t="str">
        <x:v>计算</x:v>
      </x:c>
      <x:c r="D92" s="20" t="n">
        <x:v>28</x:v>
      </x:c>
      <x:c r="E92" s="15" t="str">
        <x:v>精馏衡算、操作线与进料热状态</x:v>
      </x:c>
      <x:c r="F92" s="15" t="str">
        <x:v>|D2|D3|D1|D4|</x:v>
      </x:c>
      <x:c r="G92" s="21" t="str">
        <x:v>一连续精馏塔分离某二元理想混合物，已知进料量F=100kmof/h，”料组成 为0.5（摩尔分率，下同)，进料为气液混合物、气液的摩尔比为 塔底采用 再沸器，塔顶采用全凝器，实际回流比R 是最小回流比 Rm的3倍，塔顶产品 的组成xD=0.8，塔底产品的组成xw=0.2，系统相对握发度α=3。 试求： （1）进料的汽相组成和液相组成； (2) 塔顶易挥发组分的回收率； (3) 塔釜的汽化量； （4）完成分离任务所需的理板数N。</x:v>
      </x:c>
      <x:c r="H92" s="15" t="str">
        <x:v>A</x:v>
      </x:c>
      <x:c r="I92" s="15" t="str">
        <x:v>22</x:v>
      </x:c>
      <x:c r="J92" s="15" t="str">
        <x:v>汇编题卷（未核实官方原卷）</x:v>
      </x:c>
      <x:c r="K92" s="22" t="str">
        <x:v>扫描题干摘录，公式与数值做题前核对原PDF。</x:v>
      </x:c>
    </x:row>
    <x:row r="93" ht="66" customHeight="1">
      <x:c r="A93" s="18" t="n">
        <x:v>2004</x:v>
      </x:c>
      <x:c r="B93" s="19" t="str">
        <x:v>2004年 一、填空第1题</x:v>
      </x:c>
      <x:c r="C93" s="19" t="str">
        <x:v>填空</x:v>
      </x:c>
      <x:c r="D93" s="20"/>
      <x:c r="E93" s="15" t="str">
        <x:v>连续性、伯努利与管路计算</x:v>
      </x:c>
      <x:c r="F93" s="15" t="str">
        <x:v>|F2|F3|</x:v>
      </x:c>
      <x:c r="G93" s="21" t="str">
        <x:v>水由口恒液位的高位槽通过一管道流向压力恒定的反应器（流动不处于阻力平 方区），当管道上的阀门开度减小后，水流量餐 ，摩擦系数 ，管道总阻力 损失</x:v>
      </x:c>
      <x:c r="H93" s="15" t="str">
        <x:v>A</x:v>
      </x:c>
      <x:c r="I93" s="15" t="str">
        <x:v>23</x:v>
      </x:c>
      <x:c r="J93" s="15" t="str">
        <x:v>汇编题卷（未核实官方原卷）</x:v>
      </x:c>
      <x:c r="K93" s="22" t="str">
        <x:v>扫描题干摘录，公式与数值做题前核对原PDF。</x:v>
      </x:c>
    </x:row>
    <x:row r="94" ht="66" customHeight="1">
      <x:c r="A94" s="18" t="n">
        <x:v>2004</x:v>
      </x:c>
      <x:c r="B94" s="19" t="str">
        <x:v>2004年 一、填空第2题</x:v>
      </x:c>
      <x:c r="C94" s="19" t="str">
        <x:v>填空</x:v>
      </x:c>
      <x:c r="D94" s="20"/>
      <x:c r="E94" s="15" t="str">
        <x:v>静力学、压力与U形压差计</x:v>
      </x:c>
      <x:c r="F94" s="15" t="str">
        <x:v>|F1|</x:v>
      </x:c>
      <x:c r="G94" s="21" t="str">
        <x:v>处于同一水平面的流体，维持等压面的必要条件是</x:v>
      </x:c>
      <x:c r="H94" s="15" t="str">
        <x:v>A</x:v>
      </x:c>
      <x:c r="I94" s="15" t="str">
        <x:v>23</x:v>
      </x:c>
      <x:c r="J94" s="15" t="str">
        <x:v>汇编题卷（未核实官方原卷）</x:v>
      </x:c>
      <x:c r="K94" s="22" t="str">
        <x:v>扫描题干摘录，公式与数值做题前核对原PDF。</x:v>
      </x:c>
    </x:row>
    <x:row r="95" ht="66" customHeight="1">
      <x:c r="A95" s="18" t="n">
        <x:v>2004</x:v>
      </x:c>
      <x:c r="B95" s="19" t="str">
        <x:v>2004年 一、填空第3题</x:v>
      </x:c>
      <x:c r="C95" s="19" t="str">
        <x:v>填空</x:v>
      </x:c>
      <x:c r="D95" s="20"/>
      <x:c r="E95" s="15" t="str">
        <x:v>汽蚀、气缚、安装与开停</x:v>
      </x:c>
      <x:c r="F95" s="15" t="str">
        <x:v>|P2|</x:v>
      </x:c>
      <x:c r="G95" s="21" t="str">
        <x:v>在某高原地区（大气压强为680mmHg），用一台允许吸上真空高度为4.4m的离 心水泵从井中吸水，若泵体与水面的垂直距离为3.5m。此泵 A．操作正常 发生气蚀 C.电动机超载 D．泵出口压力过高</x:v>
      </x:c>
      <x:c r="H95" s="15" t="str">
        <x:v>A</x:v>
      </x:c>
      <x:c r="I95" s="15" t="str">
        <x:v>23</x:v>
      </x:c>
      <x:c r="J95" s="15" t="str">
        <x:v>汇编题卷（未核实官方原卷）</x:v>
      </x:c>
      <x:c r="K95" s="22" t="str">
        <x:v>扫描题干摘录，公式与数值做题前核对原PDF。</x:v>
      </x:c>
    </x:row>
    <x:row r="96" ht="66" customHeight="1">
      <x:c r="A96" s="18" t="n">
        <x:v>2004</x:v>
      </x:c>
      <x:c r="B96" s="19" t="str">
        <x:v>2004年 一、填空第4题</x:v>
      </x:c>
      <x:c r="C96" s="19" t="str">
        <x:v>填空</x:v>
      </x:c>
      <x:c r="D96" s="20"/>
      <x:c r="E96" s="15" t="str">
        <x:v>泵特性、工作点、调节与功率</x:v>
      </x:c>
      <x:c r="F96" s="15" t="str">
        <x:v>|P1|</x:v>
      </x:c>
      <x:c r="G96" s="21" t="str">
        <x:v>当两台同型号的离心泵串联操作时，与单台泵的操作比较其扬程 ：排量</x:v>
      </x:c>
      <x:c r="H96" s="15" t="str">
        <x:v>A</x:v>
      </x:c>
      <x:c r="I96" s="15" t="str">
        <x:v>23</x:v>
      </x:c>
      <x:c r="J96" s="15" t="str">
        <x:v>汇编题卷（未核实官方原卷）</x:v>
      </x:c>
      <x:c r="K96" s="22" t="str">
        <x:v>扫描题干摘录，公式与数值做题前核对原PDF。</x:v>
      </x:c>
    </x:row>
    <x:row r="97" ht="66" customHeight="1">
      <x:c r="A97" s="18" t="n">
        <x:v>2004</x:v>
      </x:c>
      <x:c r="B97" s="19" t="str">
        <x:v>2004年 一、填空第5题</x:v>
      </x:c>
      <x:c r="C97" s="19" t="str">
        <x:v>填空</x:v>
      </x:c>
      <x:c r="D97" s="20"/>
      <x:c r="E97" s="15" t="str">
        <x:v>颗粒粒径、沉降与降尘室</x:v>
      </x:c>
      <x:c r="F97" s="15" t="str">
        <x:v>|S1|</x:v>
      </x:c>
      <x:c r="G97" s="21" t="str">
        <x:v>除去葆粒径的颗粒时，若降尘室的高度增加一倍，则沉降时间 ，气流速度 生产能力</x:v>
      </x:c>
      <x:c r="H97" s="15" t="str">
        <x:v>A</x:v>
      </x:c>
      <x:c r="I97" s="15" t="str">
        <x:v>23</x:v>
      </x:c>
      <x:c r="J97" s="15" t="str">
        <x:v>汇编题卷（未核实官方原卷）</x:v>
      </x:c>
      <x:c r="K97" s="22" t="str">
        <x:v>扫描题干摘录，公式与数值做题前核对原PDF。</x:v>
      </x:c>
    </x:row>
    <x:row r="98" ht="66" customHeight="1">
      <x:c r="A98" s="18" t="n">
        <x:v>2004</x:v>
      </x:c>
      <x:c r="B98" s="19" t="str">
        <x:v>2004年 一、填空第6题</x:v>
      </x:c>
      <x:c r="C98" s="19" t="str">
        <x:v>填空</x:v>
      </x:c>
      <x:c r="D98" s="20"/>
      <x:c r="E98" s="15" t="str">
        <x:v>床层压降、流化状态与异常</x:v>
      </x:c>
      <x:c r="F98" s="15" t="str">
        <x:v>|B1|</x:v>
      </x:c>
      <x:c r="G98" s="21" t="str">
        <x:v>正常操作的气固流化床，其气速应大于 速度，小于 速度。水平管气力 输送气速的下限是 速度，垂直管气力输送气速的下限是 速度。</x:v>
      </x:c>
      <x:c r="H98" s="15" t="str">
        <x:v>A</x:v>
      </x:c>
      <x:c r="I98" s="15" t="str">
        <x:v>23</x:v>
      </x:c>
      <x:c r="J98" s="15" t="str">
        <x:v>汇编题卷（未核实官方原卷）</x:v>
      </x:c>
      <x:c r="K98" s="22" t="str">
        <x:v>扫描题干摘录，公式与数值做题前核对原PDF。</x:v>
      </x:c>
    </x:row>
    <x:row r="99" ht="66" customHeight="1">
      <x:c r="A99" s="18" t="n">
        <x:v>2004</x:v>
      </x:c>
      <x:c r="B99" s="19" t="str">
        <x:v>2004年 一、填空第7题</x:v>
      </x:c>
      <x:c r="C99" s="19" t="str">
        <x:v>填空</x:v>
      </x:c>
      <x:c r="D99" s="20"/>
      <x:c r="E99" s="15" t="str">
        <x:v>沸腾与冷凝传热</x:v>
      </x:c>
      <x:c r="F99" s="15" t="str">
        <x:v>|H6|</x:v>
      </x:c>
      <x:c r="G99" s="21" t="str">
        <x:v>饱和蒸汽冷凝时，△t越大，α越 ；液体核状沸腾时，△t越大，α 越</x:v>
      </x:c>
      <x:c r="H99" s="15" t="str">
        <x:v>A</x:v>
      </x:c>
      <x:c r="I99" s="15" t="str">
        <x:v>23</x:v>
      </x:c>
      <x:c r="J99" s="15" t="str">
        <x:v>汇编题卷（未核实官方原卷）</x:v>
      </x:c>
      <x:c r="K99" s="22" t="str">
        <x:v>扫描题干摘录，公式与数值做题前核对原PDF。</x:v>
      </x:c>
    </x:row>
    <x:row r="100" ht="66" customHeight="1">
      <x:c r="A100" s="18" t="n">
        <x:v>2004</x:v>
      </x:c>
      <x:c r="B100" s="19" t="str">
        <x:v>2004年 一、填空第8题</x:v>
      </x:c>
      <x:c r="C100" s="19" t="str">
        <x:v>填空</x:v>
      </x:c>
      <x:c r="D100" s="20"/>
      <x:c r="E100" s="15" t="str">
        <x:v>流程选择、设备结构与强化</x:v>
      </x:c>
      <x:c r="F100" s="15" t="str">
        <x:v>|H5|</x:v>
      </x:c>
      <x:c r="G100" s="21" t="str">
        <x:v>在列管换热器中，蒸汽一般通入 程，压力高的物料则走 程。</x:v>
      </x:c>
      <x:c r="H100" s="15" t="str">
        <x:v>A</x:v>
      </x:c>
      <x:c r="I100" s="15" t="str">
        <x:v>23</x:v>
      </x:c>
      <x:c r="J100" s="15" t="str">
        <x:v>汇编题卷（未核实官方原卷）</x:v>
      </x:c>
      <x:c r="K100" s="22" t="str">
        <x:v>扫描题干摘录，公式与数值做题前核对原PDF。</x:v>
      </x:c>
    </x:row>
    <x:row r="101" ht="66" customHeight="1">
      <x:c r="A101" s="18" t="n">
        <x:v>2004</x:v>
      </x:c>
      <x:c r="B101" s="19" t="str">
        <x:v>2004年 一、填空第9题</x:v>
      </x:c>
      <x:c r="C101" s="19" t="str">
        <x:v>填空</x:v>
      </x:c>
      <x:c r="D101" s="20"/>
      <x:c r="E101" s="15" t="str">
        <x:v>分子扩散、费克定律与总体流动</x:v>
      </x:c>
      <x:c r="F101" s="15" t="str">
        <x:v>|M1|</x:v>
      </x:c>
      <x:c r="G101" s="21" t="str">
        <x:v>涡流扩散系数与分子扩散系数的本质区别是：当T、P、物系一定时，分子扩散系 数 （是、不是）物性常数，该系数与 相关；而涡流扩散系数 （是、 不是）物性常数，与 _相关。</x:v>
      </x:c>
      <x:c r="H101" s="15" t="str">
        <x:v>A</x:v>
      </x:c>
      <x:c r="I101" s="15" t="str">
        <x:v>24</x:v>
      </x:c>
      <x:c r="J101" s="15" t="str">
        <x:v>汇编题卷（未核实官方原卷）</x:v>
      </x:c>
      <x:c r="K101" s="22" t="str">
        <x:v>扫描题干摘录，公式与数值做题前核对原PDF。</x:v>
      </x:c>
    </x:row>
    <x:row r="102" ht="66" customHeight="1">
      <x:c r="A102" s="18" t="n">
        <x:v>2004</x:v>
      </x:c>
      <x:c r="B102" s="19" t="str">
        <x:v>2004年 一、填空第10题</x:v>
      </x:c>
      <x:c r="C102" s="19" t="str">
        <x:v>填空</x:v>
      </x:c>
      <x:c r="D102" s="20"/>
      <x:c r="E102" s="15" t="str">
        <x:v>吸收 / 解吸的操作变化与强化</x:v>
      </x:c>
      <x:c r="F102" s="15" t="str">
        <x:v>|A5|</x:v>
      </x:c>
      <x:c r="G102" s="21" t="str">
        <x:v>在逆流操作的填料解吸塔中，若降低解吸气的溶质浓度，其它操作条作不变，则 _。(单项选择) A.液相、汽相出塔浓度均下降 B．汽相出塔浓度上升，溶质回收率增大 C.液相出塔浓度下降，溶质回收率下降 D.汽相出塔浓度下降，溶质回收率下降</x:v>
      </x:c>
      <x:c r="H102" s="15" t="str">
        <x:v>A</x:v>
      </x:c>
      <x:c r="I102" s="15" t="str">
        <x:v>24</x:v>
      </x:c>
      <x:c r="J102" s="15" t="str">
        <x:v>汇编题卷（未核实官方原卷）</x:v>
      </x:c>
      <x:c r="K102" s="22" t="str">
        <x:v>扫描题干摘录，公式与数值做题前核对原PDF。</x:v>
      </x:c>
    </x:row>
    <x:row r="103" ht="66" customHeight="1">
      <x:c r="A103" s="18" t="n">
        <x:v>2004</x:v>
      </x:c>
      <x:c r="B103" s="19" t="str">
        <x:v>2004年 一、填空第11题</x:v>
      </x:c>
      <x:c r="C103" s="19" t="str">
        <x:v>填空</x:v>
      </x:c>
      <x:c r="D103" s="20"/>
      <x:c r="E103" s="15" t="str">
        <x:v>双膜理论、控制阻力与传质系数</x:v>
      </x:c>
      <x:c r="F103" s="15" t="str">
        <x:v>|A2|A1|</x:v>
      </x:c>
      <x:c r="G103" s="21" t="str">
        <x:v>亨利定律的表达式之一为 P=Ex，某气体在水中 E 值很大，说朗该气体为 气体，传质阻力通常集中在 膜，此时气体流量的大小及其动程度对传质总阻力 的影响 (大、小、不确定)。</x:v>
      </x:c>
      <x:c r="H103" s="15" t="str">
        <x:v>A</x:v>
      </x:c>
      <x:c r="I103" s="15" t="str">
        <x:v>24</x:v>
      </x:c>
      <x:c r="J103" s="15" t="str">
        <x:v>汇编题卷（未核实官方原卷）</x:v>
      </x:c>
      <x:c r="K103" s="22" t="str">
        <x:v>扫描题干摘录，公式与数值做题前核对原PDF。</x:v>
      </x:c>
    </x:row>
    <x:row r="104" ht="66" customHeight="1">
      <x:c r="A104" s="18" t="n">
        <x:v>2004</x:v>
      </x:c>
      <x:c r="B104" s="19" t="str">
        <x:v>2004年 一、填空第12题</x:v>
      </x:c>
      <x:c r="C104" s="19" t="str">
        <x:v>填空</x:v>
      </x:c>
      <x:c r="D104" s="20"/>
      <x:c r="E104" s="15" t="str">
        <x:v>回流比、极限条件与操作分析</x:v>
      </x:c>
      <x:c r="F104" s="15" t="str">
        <x:v>|D4|D3|</x:v>
      </x:c>
      <x:c r="G104" s="21" t="str">
        <x:v>精馏塔设计时，进料量F、进料组成xF、进料 凝分率、塔顶产品量D、塔顶产 品组成xD、回流比R均为定值，若降低回流液的温度，则完成分离任务所需的理论 板数将 _。（增加、减少、不变、不确定</x:v>
      </x:c>
      <x:c r="H104" s="15" t="str">
        <x:v>A</x:v>
      </x:c>
      <x:c r="I104" s="15" t="str">
        <x:v>24</x:v>
      </x:c>
      <x:c r="J104" s="15" t="str">
        <x:v>汇编题卷（未核实官方原卷）</x:v>
      </x:c>
      <x:c r="K104" s="22" t="str">
        <x:v>扫描题干摘录，公式与数值做题前核对原PDF。</x:v>
      </x:c>
    </x:row>
    <x:row r="105" ht="66" customHeight="1">
      <x:c r="A105" s="18" t="n">
        <x:v>2004</x:v>
      </x:c>
      <x:c r="B105" s="19" t="str">
        <x:v>2004年 一、填空第13题</x:v>
      </x:c>
      <x:c r="C105" s="19" t="str">
        <x:v>填空</x:v>
      </x:c>
      <x:c r="D105" s="20"/>
      <x:c r="E105" s="15" t="str">
        <x:v>精馏衡算、操作线与进料热状态</x:v>
      </x:c>
      <x:c r="F105" s="15" t="str">
        <x:v>|D2|D3|</x:v>
      </x:c>
      <x:c r="G105" s="21" t="str">
        <x:v>分离要求一定，当回流比一定时，在五种进料状况中， 进料的q值最大， 此时，提馏段操作线与平衡线的距离 _，分离所需的理论板数</x:v>
      </x:c>
      <x:c r="H105" s="15" t="str">
        <x:v>A</x:v>
      </x:c>
      <x:c r="I105" s="15" t="str">
        <x:v>24</x:v>
      </x:c>
      <x:c r="J105" s="15" t="str">
        <x:v>汇编题卷（未核实官方原卷）</x:v>
      </x:c>
      <x:c r="K105" s="22" t="str">
        <x:v>扫描题干摘录，公式与数值做题前核对原PDF。</x:v>
      </x:c>
    </x:row>
    <x:row r="106" ht="66" customHeight="1">
      <x:c r="A106" s="18" t="n">
        <x:v>2004</x:v>
      </x:c>
      <x:c r="B106" s="19" t="str">
        <x:v>2004年 一、填空第14题</x:v>
      </x:c>
      <x:c r="C106" s="19" t="str">
        <x:v>填空</x:v>
      </x:c>
      <x:c r="D106" s="20"/>
      <x:c r="E106" s="15" t="str">
        <x:v>简单、间歇与特殊蒸馏</x:v>
      </x:c>
      <x:c r="F106" s="15" t="str">
        <x:v>|D5|</x:v>
      </x:c>
      <x:c r="G106" s="21" t="str">
        <x:v>当原料组成、料液量、压力最终温度都相同时，用简单蒸馏和平衡蒸馏（闪蒸) 的方法对二元理想溶液进行分离，其结果是：得到的馏出物浓度XD简单 XD平衡 得到的馏出物总量高 D平衡（&gt;、&lt;、=)。</x:v>
      </x:c>
      <x:c r="H106" s="15" t="str">
        <x:v>A</x:v>
      </x:c>
      <x:c r="I106" s="15" t="str">
        <x:v>24</x:v>
      </x:c>
      <x:c r="J106" s="15" t="str">
        <x:v>汇编题卷（未核实官方原卷）</x:v>
      </x:c>
      <x:c r="K106" s="22" t="str">
        <x:v>扫描题干摘录，公式与数值做题前核对原PDF。</x:v>
      </x:c>
    </x:row>
    <x:row r="107" ht="66" customHeight="1">
      <x:c r="A107" s="18" t="n">
        <x:v>2004</x:v>
      </x:c>
      <x:c r="B107" s="19" t="str">
        <x:v>2004年 一、填空第15题</x:v>
      </x:c>
      <x:c r="C107" s="19" t="str">
        <x:v>填空</x:v>
      </x:c>
      <x:c r="D107" s="20"/>
      <x:c r="E107" s="15" t="str">
        <x:v>选择性、分配系数与单级萃取</x:v>
      </x:c>
      <x:c r="F107" s="15" t="str">
        <x:v>|X1|</x:v>
      </x:c>
      <x:c r="G107" s="21" t="str">
        <x:v>在B-&amp;部分互溶体系的单级萃取过程中,若加入的萃取剂量增加(Smin&lt;S&lt;Smax), 其它操作条件不变，则萃取液浓度 _。（升高、降低、不变、不确定）</x:v>
      </x:c>
      <x:c r="H107" s="15" t="str">
        <x:v>A</x:v>
      </x:c>
      <x:c r="I107" s="15" t="str">
        <x:v>24</x:v>
      </x:c>
      <x:c r="J107" s="15" t="str">
        <x:v>汇编题卷（未核实官方原卷）</x:v>
      </x:c>
      <x:c r="K107" s="22" t="str">
        <x:v>扫描题干摘录，公式与数值做题前核对原PDF。</x:v>
      </x:c>
    </x:row>
    <x:row r="108" ht="66" customHeight="1">
      <x:c r="A108" s="18" t="n">
        <x:v>2004</x:v>
      </x:c>
      <x:c r="B108" s="19" t="str">
        <x:v>2004年 一、填空第16题</x:v>
      </x:c>
      <x:c r="C108" s="19" t="str">
        <x:v>填空</x:v>
      </x:c>
      <x:c r="D108" s="20"/>
      <x:c r="E108" s="15" t="str">
        <x:v>板式 / 填料塔、液泛与负荷图</x:v>
      </x:c>
      <x:c r="F108" s="15" t="str">
        <x:v>|T1|</x:v>
      </x:c>
      <x:c r="G108" s="21" t="str">
        <x:v>板式塔的类型很多，在生产中应用最多的是 塔板和 塔板；评价塔板性 能的指标有很多，对不同情况下有不用的侧重点，常对减压精馏塔通强调 要小， 对沸点小的物系通常强调 要高，而对于操作负荷经常变化的情况往往强调 要大。</x:v>
      </x:c>
      <x:c r="H108" s="15" t="str">
        <x:v>A</x:v>
      </x:c>
      <x:c r="I108" s="15" t="str">
        <x:v>24</x:v>
      </x:c>
      <x:c r="J108" s="15" t="str">
        <x:v>汇编题卷（未核实官方原卷）</x:v>
      </x:c>
      <x:c r="K108" s="22" t="str">
        <x:v>扫描题干摘录，公式与数值做题前核对原PDF。</x:v>
      </x:c>
    </x:row>
    <x:row r="109" ht="66" customHeight="1">
      <x:c r="A109" s="18" t="n">
        <x:v>2004</x:v>
      </x:c>
      <x:c r="B109" s="19" t="str">
        <x:v>2004年 二、计算</x:v>
      </x:c>
      <x:c r="C109" s="19" t="str">
        <x:v>计算</x:v>
      </x:c>
      <x:c r="D109" s="20" t="n">
        <x:v>20</x:v>
      </x:c>
      <x:c r="E109" s="15" t="str">
        <x:v>泵特性、工作点、调节与功率</x:v>
      </x:c>
      <x:c r="F109" s="15" t="str">
        <x:v>|P1|F2|F3|</x:v>
      </x:c>
      <x:c r="G109" s="21" t="str">
        <x:v>需将30m2/h的水送至塔顶，塔顶压力为0.5kgf/cm²（表），与取水池水面的高度 差为10m；20C时水的粘度取μ=1cP：输水管为Φ89x4mm、长18m，管路局部阻力 （1）输送所需的理论功率（kW); （2）一泵的特性曲线可近似用下式表示： 扬程：H=22.4+5Q-20Q²（m) 效率：n=2.5Q-2.1Q2 式中Q的单位为m/min。求出最高效率点的效率并评价此泵的适用性。如适用， 求调节阀消耗的功率增加多少？</x:v>
      </x:c>
      <x:c r="H109" s="15" t="str">
        <x:v>A</x:v>
      </x:c>
      <x:c r="I109" s="15" t="str">
        <x:v>24、25</x:v>
      </x:c>
      <x:c r="J109" s="15" t="str">
        <x:v>汇编题卷（未核实官方原卷）</x:v>
      </x:c>
      <x:c r="K109" s="22" t="str">
        <x:v>扫描题干摘录，公式与数值做题前核对原PDF。</x:v>
      </x:c>
    </x:row>
    <x:row r="110" ht="66" customHeight="1">
      <x:c r="A110" s="18" t="n">
        <x:v>2004</x:v>
      </x:c>
      <x:c r="B110" s="19" t="str">
        <x:v>2004年 三、计算</x:v>
      </x:c>
      <x:c r="C110" s="19" t="str">
        <x:v>计算</x:v>
      </x:c>
      <x:c r="D110" s="20" t="n">
        <x:v>15</x:v>
      </x:c>
      <x:c r="E110" s="15" t="str">
        <x:v>洗涤、板框 / 转筒与生产能力</x:v>
      </x:c>
      <x:c r="F110" s="15" t="str">
        <x:v>|S4|S3|</x:v>
      </x:c>
      <x:c r="G110" s="21" t="str">
        <x:v>有一板框过滤机，在一定压力下过滤某种悬浮液。当滤渣完全充满滤框时的滤液 量为10m²，过滤时间为1h。随后在相同压力下，用10%滤液量的清水（物性可视为 和滤液相同）洗涤，每次拆装需时间8min，且已知在 操作中Ve=1.5m3。 （1）求该机的生产能力，以m²（滤液）h表 （2）如果该机的每一个滤框厚度减半，长宽亵，而框数加倍，仍用同样的滤布， 洗涤水量不变，但拆装时间增为15min试尚：在同样操作条件下进行上述过滤，则 生产能力将变为多少m²（滤液） （过滤基本方程：V2+2）</x:v>
      </x:c>
      <x:c r="H110" s="15" t="str">
        <x:v>A</x:v>
      </x:c>
      <x:c r="I110" s="15" t="str">
        <x:v>25</x:v>
      </x:c>
      <x:c r="J110" s="15" t="str">
        <x:v>汇编题卷（未核实官方原卷）</x:v>
      </x:c>
      <x:c r="K110" s="22" t="str">
        <x:v>扫描题干摘录，公式与数值做题前核对原PDF。</x:v>
      </x:c>
    </x:row>
    <x:row r="111" ht="66" customHeight="1">
      <x:c r="A111" s="18" t="n">
        <x:v>2004</x:v>
      </x:c>
      <x:c r="B111" s="19" t="str">
        <x:v>2004年 四、计算</x:v>
      </x:c>
      <x:c r="C111" s="19" t="str">
        <x:v>计算</x:v>
      </x:c>
      <x:c r="D111" s="20" t="n">
        <x:v>20</x:v>
      </x:c>
      <x:c r="E111" s="15" t="str">
        <x:v>换热器设计、校核与操作计算</x:v>
      </x:c>
      <x:c r="F111" s="15" t="str">
        <x:v>|H4|H3|H2|H5|</x:v>
      </x:c>
      <x:c r="G111" s="21" t="str">
        <x:v>有一单程列管冷凝器，安有Φ25×2.5mm，长2m的钢管60根，水蒸汽在管间 m 冷凝，冷凝温度为100C，冷却水走管内，流量为50m²/h，其进、出温度分别为20℃ 和40℃ （1）试计算此冷凝器的总传热系数K总； （2）“在保持原来冷凝量的前提下，为节约水，要求冷却水量减少一半。今拟将水由 单程改为4 程。设管壁两侧的污垢热阻及管外蒸汽冷凝热阻均忽略不计，换热器损 失不计，试通过计算说明该方案从传热原理上是否可行。 计算中取水的平均物性为：Cp=4.187kJ/（kg·C），p=996kg/m，μ=lcP。</x:v>
      </x:c>
      <x:c r="H111" s="15" t="str">
        <x:v>A</x:v>
      </x:c>
      <x:c r="I111" s="15" t="str">
        <x:v>25</x:v>
      </x:c>
      <x:c r="J111" s="15" t="str">
        <x:v>汇编题卷（未核实官方原卷）</x:v>
      </x:c>
      <x:c r="K111" s="22" t="str">
        <x:v>扫描题干摘录，公式与数值做题前核对原PDF。</x:v>
      </x:c>
    </x:row>
    <x:row r="112" ht="66" customHeight="1">
      <x:c r="A112" s="18" t="n">
        <x:v>2004</x:v>
      </x:c>
      <x:c r="B112" s="19" t="str">
        <x:v>2004年 五、计算</x:v>
      </x:c>
      <x:c r="C112" s="19" t="str">
        <x:v>计算</x:v>
      </x:c>
      <x:c r="D112" s="20" t="n">
        <x:v>27</x:v>
      </x:c>
      <x:c r="E112" s="15" t="str">
        <x:v>传质单元、填料高度与理论级</x:v>
      </x:c>
      <x:c r="F112" s="15" t="str">
        <x:v>|A4|A3|A5|</x:v>
      </x:c>
      <x:c r="G112" s="21" t="str">
        <x:v>某吸收塔用25mm×25mm的钢制鲍尔环作填料，充填高度为6m，塔径为1m, 用清水逆流吸收空气中的丙酮（C3H6O）蒸汽（图①所示)。已知入塔混合气的流量 为 3000m²/h，其中丙含量yi为0.05（摩尔分率，下同)，塔顶逸出废气中丙酮含量y2 为0.005。塔底液体中每千克水中带有60g丙酮，操作在101.3kPa，25℃下进行，物 系的相平衡关系为Y=2X。 试求： (1) 该塔的气相总体积传质系数Kya； (2) 每小时回收的丙酮量(kg/h); （3）若为了增加该填料塔的液相喷淋密度，将塔底液体抽出一股与塔顶清水混合加 入（图②所示)。循环溶剂量为新鲜溶剂量的1/10，假定 Y1、X;乌混合气量等条件 不变，吸收过程为</x:v>
      </x:c>
      <x:c r="H112" s="15" t="str">
        <x:v>A</x:v>
      </x:c>
      <x:c r="I112" s="15" t="str">
        <x:v>25、26</x:v>
      </x:c>
      <x:c r="J112" s="15" t="str">
        <x:v>汇编题卷（未核实官方原卷）</x:v>
      </x:c>
      <x:c r="K112" s="22" t="str">
        <x:v>扫描题干摘录，公式与数值做题前核对原PDF。</x:v>
      </x:c>
    </x:row>
    <x:row r="113" ht="66" customHeight="1">
      <x:c r="A113" s="18" t="n">
        <x:v>2004</x:v>
      </x:c>
      <x:c r="B113" s="19" t="str">
        <x:v>2004年 六、计算</x:v>
      </x:c>
      <x:c r="C113" s="19" t="str">
        <x:v>计算</x:v>
      </x:c>
      <x:c r="D113" s="20" t="n">
        <x:v>28</x:v>
      </x:c>
      <x:c r="E113" s="15" t="str">
        <x:v>精馏衡算、操作线与进料热状态</x:v>
      </x:c>
      <x:c r="F113" s="15" t="str">
        <x:v>|D2|D4|</x:v>
      </x:c>
      <x:c r="G113" s="21" t="str">
        <x:v>一缝续精馏塔内分离某二元理想混合物，已知进料量F=60kmol/s，进料组成 xF=0.4《尔分率，下同)，进料为饱和蒸汽，塔顶产品的组成xD=0.95，塔底产品的 组成xw=0.1,体系相对挥发度α=3。塔顶采用全凝器取热，泡点回流，回流比R=2Rmin 塔底采用再沸器加热。试求： （1） 塔顶产品量和塔底产品量； (2) 该塔的提馏段操作线方程； （3）如果再沸器因长期使用而结垢，请问会对塔顶、塔底产品的质量造成什么影响？ 应采取什么措施？</x:v>
      </x:c>
      <x:c r="H113" s="15" t="str">
        <x:v>A</x:v>
      </x:c>
      <x:c r="I113" s="15" t="str">
        <x:v>26</x:v>
      </x:c>
      <x:c r="J113" s="15" t="str">
        <x:v>汇编题卷（未核实官方原卷）</x:v>
      </x:c>
      <x:c r="K113" s="22" t="str">
        <x:v>扫描题干摘录，公式与数值做题前核对原PDF。</x:v>
      </x:c>
    </x:row>
    <x:row r="114" ht="66" customHeight="1">
      <x:c r="A114" s="18" t="n">
        <x:v>2005</x:v>
      </x:c>
      <x:c r="B114" s="19" t="str">
        <x:v>2005年 一、填空第1题</x:v>
      </x:c>
      <x:c r="C114" s="19" t="str">
        <x:v>填空</x:v>
      </x:c>
      <x:c r="D114" s="20"/>
      <x:c r="E114" s="15" t="str">
        <x:v>黏性、Re、流型与管路阻力</x:v>
      </x:c>
      <x:c r="F114" s="15" t="str">
        <x:v>|F3|</x:v>
      </x:c>
      <x:c r="G114" s="21" t="str">
        <x:v>当Re为已知时，流体在圆形管内呈层流时的 ，在粗糙管内呈湍 流时，摩擦系数入与 和 有关</x:v>
      </x:c>
      <x:c r="H114" s="15" t="str">
        <x:v>A</x:v>
      </x:c>
      <x:c r="I114" s="15" t="str">
        <x:v>27</x:v>
      </x:c>
      <x:c r="J114" s="15" t="str">
        <x:v>汇编题卷（未核实官方原卷）</x:v>
      </x:c>
      <x:c r="K114" s="22" t="str">
        <x:v>扫描题干摘录，公式与数值做题前核对原PDF。</x:v>
      </x:c>
    </x:row>
    <x:row r="115" ht="66" customHeight="1">
      <x:c r="A115" s="18" t="n">
        <x:v>2005</x:v>
      </x:c>
      <x:c r="B115" s="19" t="str">
        <x:v>2005年 一、填空第2题</x:v>
      </x:c>
      <x:c r="C115" s="19" t="str">
        <x:v>填空</x:v>
      </x:c>
      <x:c r="D115" s="20"/>
      <x:c r="E115" s="15" t="str">
        <x:v>静力学、压力与U形压差计</x:v>
      </x:c>
      <x:c r="F115" s="15" t="str">
        <x:v>|F1|</x:v>
      </x:c>
      <x:c r="G115" s="21" t="str">
        <x:v>U形管压差计用水作指示液，测量气体管道中的压降，若指示液读数R=20mm, 则表示压降为 Pa，为使R读数增，而△p值不变，应更换一种密度比水 的指示液。</x:v>
      </x:c>
      <x:c r="H115" s="15" t="str">
        <x:v>A</x:v>
      </x:c>
      <x:c r="I115" s="15" t="str">
        <x:v>27</x:v>
      </x:c>
      <x:c r="J115" s="15" t="str">
        <x:v>汇编题卷（未核实官方原卷）</x:v>
      </x:c>
      <x:c r="K115" s="22" t="str">
        <x:v>扫描题干摘录，公式与数值做题前核对原PDF。</x:v>
      </x:c>
    </x:row>
    <x:row r="116" ht="66" customHeight="1">
      <x:c r="A116" s="18" t="n">
        <x:v>2005</x:v>
      </x:c>
      <x:c r="B116" s="19" t="str">
        <x:v>2005年 一、填空第3题</x:v>
      </x:c>
      <x:c r="C116" s="19" t="str">
        <x:v>填空</x:v>
      </x:c>
      <x:c r="D116" s="20"/>
      <x:c r="E116" s="15" t="str">
        <x:v>泵特性、工作点、调节与功率</x:v>
      </x:c>
      <x:c r="F116" s="15" t="str">
        <x:v>|P1|</x:v>
      </x:c>
      <x:c r="G116" s="21" t="str">
        <x:v>在相同流量下，离心泵的实际压头比理论压头 (大、小)，这是因为 存 在。</x:v>
      </x:c>
      <x:c r="H116" s="15" t="str">
        <x:v>A</x:v>
      </x:c>
      <x:c r="I116" s="15" t="str">
        <x:v>27</x:v>
      </x:c>
      <x:c r="J116" s="15" t="str">
        <x:v>汇编题卷（未核实官方原卷）</x:v>
      </x:c>
      <x:c r="K116" s="22" t="str">
        <x:v>扫描题干摘录，公式与数值做题前核对原PDF。</x:v>
      </x:c>
    </x:row>
    <x:row r="117" ht="66" customHeight="1">
      <x:c r="A117" s="18" t="n">
        <x:v>2005</x:v>
      </x:c>
      <x:c r="B117" s="19" t="str">
        <x:v>2005年 一、填空第4题</x:v>
      </x:c>
      <x:c r="C117" s="19" t="str">
        <x:v>填空</x:v>
      </x:c>
      <x:c r="D117" s="20"/>
      <x:c r="E117" s="15" t="str">
        <x:v>汽蚀、气缚、安装与开停</x:v>
      </x:c>
      <x:c r="F117" s="15" t="str">
        <x:v>|P2|</x:v>
      </x:c>
      <x:c r="G117" s="21" t="str">
        <x:v>在某高原地区 气压强为680mmHg），用一台允许吸上真空高度为4.4m的离 心水泵从拜吸永，若泵体与水面的垂直距离为3.5m，此泵 A.操作正常 B．发生气蚀 C．电动机超 D.出口压力过高</x:v>
      </x:c>
      <x:c r="H117" s="15" t="str">
        <x:v>A</x:v>
      </x:c>
      <x:c r="I117" s="15" t="str">
        <x:v>27</x:v>
      </x:c>
      <x:c r="J117" s="15" t="str">
        <x:v>汇编题卷（未核实官方原卷）</x:v>
      </x:c>
      <x:c r="K117" s="22" t="str">
        <x:v>扫描题干摘录，公式与数值做题前核对原PDF。</x:v>
      </x:c>
    </x:row>
    <x:row r="118" ht="66" customHeight="1">
      <x:c r="A118" s="18" t="n">
        <x:v>2005</x:v>
      </x:c>
      <x:c r="B118" s="19" t="str">
        <x:v>2005年 一、填空第5题</x:v>
      </x:c>
      <x:c r="C118" s="19" t="str">
        <x:v>填空</x:v>
      </x:c>
      <x:c r="D118" s="20"/>
      <x:c r="E118" s="15" t="str">
        <x:v>旋风分离器与离心分离</x:v>
      </x:c>
      <x:c r="F118" s="15" t="str">
        <x:v>|S2|</x:v>
      </x:c>
      <x:c r="G118" s="21" t="str">
        <x:v>旋风分离器的直径越大，除尘效率越 ；温度越高，分高效率越</x:v>
      </x:c>
      <x:c r="H118" s="15" t="str">
        <x:v>A</x:v>
      </x:c>
      <x:c r="I118" s="15" t="str">
        <x:v>27</x:v>
      </x:c>
      <x:c r="J118" s="15" t="str">
        <x:v>汇编题卷（未核实官方原卷）</x:v>
      </x:c>
      <x:c r="K118" s="22" t="str">
        <x:v>扫描题干摘录，公式与数值做题前核对原PDF。</x:v>
      </x:c>
    </x:row>
    <x:row r="119" ht="66" customHeight="1">
      <x:c r="A119" s="18" t="n">
        <x:v>2005</x:v>
      </x:c>
      <x:c r="B119" s="19" t="str">
        <x:v>2005年 一、填空第6题</x:v>
      </x:c>
      <x:c r="C119" s="19" t="str">
        <x:v>填空</x:v>
      </x:c>
      <x:c r="D119" s="20"/>
      <x:c r="E119" s="15" t="str">
        <x:v>床层压降、流化状态与异常</x:v>
      </x:c>
      <x:c r="F119" s="15" t="str">
        <x:v>|B1|</x:v>
      </x:c>
      <x:c r="G119" s="21" t="str">
        <x:v>正常操作的气固流化床，其气速应大于 速度，小于 速度。水平管气力 输送气速的下限是 速度，垂直管气力输送气速的下限是 速度。</x:v>
      </x:c>
      <x:c r="H119" s="15" t="str">
        <x:v>A</x:v>
      </x:c>
      <x:c r="I119" s="15" t="str">
        <x:v>27</x:v>
      </x:c>
      <x:c r="J119" s="15" t="str">
        <x:v>汇编题卷（未核实官方原卷）</x:v>
      </x:c>
      <x:c r="K119" s="22" t="str">
        <x:v>扫描题干摘录，公式与数值做题前核对原PDF。</x:v>
      </x:c>
    </x:row>
    <x:row r="120" ht="66" customHeight="1">
      <x:c r="A120" s="18" t="n">
        <x:v>2005</x:v>
      </x:c>
      <x:c r="B120" s="19" t="str">
        <x:v>2005年 一、填空第7题</x:v>
      </x:c>
      <x:c r="C120" s="19" t="str">
        <x:v>填空</x:v>
      </x:c>
      <x:c r="D120" s="20"/>
      <x:c r="E120" s="15" t="str">
        <x:v>导热、保温与临界直径</x:v>
      </x:c>
      <x:c r="F120" s="15" t="str">
        <x:v>|H1|</x:v>
      </x:c>
      <x:c r="G120" s="21" t="str">
        <x:v>将两层厚度相同、导热系数不同的保温材料包在圆形管道上，应该将导热系数 （大、小）的材料包在内层。</x:v>
      </x:c>
      <x:c r="H120" s="15" t="str">
        <x:v>A</x:v>
      </x:c>
      <x:c r="I120" s="15" t="str">
        <x:v>27</x:v>
      </x:c>
      <x:c r="J120" s="15" t="str">
        <x:v>汇编题卷（未核实官方原卷）</x:v>
      </x:c>
      <x:c r="K120" s="22" t="str">
        <x:v>扫描题干摘录，公式与数值做题前核对原PDF。</x:v>
      </x:c>
    </x:row>
    <x:row r="121" ht="66" customHeight="1">
      <x:c r="A121" s="18" t="n">
        <x:v>2005</x:v>
      </x:c>
      <x:c r="B121" s="19" t="str">
        <x:v>2005年 一、填空第8题</x:v>
      </x:c>
      <x:c r="C121" s="19" t="str">
        <x:v>填空</x:v>
      </x:c>
      <x:c r="D121" s="20"/>
      <x:c r="E121" s="15" t="str">
        <x:v>沸腾与冷凝传热</x:v>
      </x:c>
      <x:c r="F121" s="15" t="str">
        <x:v>|H6|</x:v>
      </x:c>
      <x:c r="G121" s="21" t="str">
        <x:v>液体沸腾根据温度差大小可分为 三个阶段，实际操作应控制 在</x:v>
      </x:c>
      <x:c r="H121" s="15" t="str">
        <x:v>A</x:v>
      </x:c>
      <x:c r="I121" s="15" t="str">
        <x:v>27、28</x:v>
      </x:c>
      <x:c r="J121" s="15" t="str">
        <x:v>汇编题卷（未核实官方原卷）</x:v>
      </x:c>
      <x:c r="K121" s="22" t="str">
        <x:v>扫描题干摘录，公式与数值做题前核对原PDF。</x:v>
      </x:c>
    </x:row>
    <x:row r="122" ht="66" customHeight="1">
      <x:c r="A122" s="18" t="n">
        <x:v>2005</x:v>
      </x:c>
      <x:c r="B122" s="19" t="str">
        <x:v>2005年 一、填空第9题</x:v>
      </x:c>
      <x:c r="C122" s="19" t="str">
        <x:v>填空</x:v>
      </x:c>
      <x:c r="D122" s="20"/>
      <x:c r="E122" s="15" t="str">
        <x:v>流程选择、设备结构与强化</x:v>
      </x:c>
      <x:c r="F122" s="15" t="str">
        <x:v>|H5|H2|</x:v>
      </x:c>
      <x:c r="G122" s="21" t="str">
        <x:v>列管换热器设计成多管程是为了</x:v>
      </x:c>
      <x:c r="H122" s="15" t="str">
        <x:v>A</x:v>
      </x:c>
      <x:c r="I122" s="15" t="str">
        <x:v>28</x:v>
      </x:c>
      <x:c r="J122" s="15" t="str">
        <x:v>汇编题卷（未核实官方原卷）</x:v>
      </x:c>
      <x:c r="K122" s="22" t="str">
        <x:v>扫描题干摘录，公式与数值做题前核对原PDF。</x:v>
      </x:c>
    </x:row>
    <x:row r="123" ht="66" customHeight="1">
      <x:c r="A123" s="18" t="n">
        <x:v>2005</x:v>
      </x:c>
      <x:c r="B123" s="19" t="str">
        <x:v>2005年 一、填空第10题</x:v>
      </x:c>
      <x:c r="C123" s="19" t="str">
        <x:v>填空</x:v>
      </x:c>
      <x:c r="D123" s="20"/>
      <x:c r="E123" s="15" t="str">
        <x:v>吸收 / 解吸的操作变化与强化</x:v>
      </x:c>
      <x:c r="F123" s="15" t="str">
        <x:v>|A5|A4|</x:v>
      </x:c>
      <x:c r="G123" s="21" t="str">
        <x:v>在填料塔中，用清水逆流吸收低浓度混合气中的NH3，当水泵发生故障上水量减 少时，如果保持其他操作条件不变，则气相总传质单元数NoG将：—，出口气体 的组成ya将_，出口液相组成xb将_ 子__。（增加、减少、不变、不确定)</x:v>
      </x:c>
      <x:c r="H123" s="15" t="str">
        <x:v>A</x:v>
      </x:c>
      <x:c r="I123" s="15" t="str">
        <x:v>28</x:v>
      </x:c>
      <x:c r="J123" s="15" t="str">
        <x:v>汇编题卷（未核实官方原卷）</x:v>
      </x:c>
      <x:c r="K123" s="22" t="str">
        <x:v>扫描题干摘录，公式与数值做题前核对原PDF。</x:v>
      </x:c>
    </x:row>
    <x:row r="124" ht="66" customHeight="1">
      <x:c r="A124" s="18" t="n">
        <x:v>2005</x:v>
      </x:c>
      <x:c r="B124" s="19" t="str">
        <x:v>2005年 一、填空第11题</x:v>
      </x:c>
      <x:c r="C124" s="19" t="str">
        <x:v>填空</x:v>
      </x:c>
      <x:c r="D124" s="20"/>
      <x:c r="E124" s="15" t="str">
        <x:v>吸收 / 解吸的操作变化与强化</x:v>
      </x:c>
      <x:c r="F124" s="15" t="str">
        <x:v>|A5|A2|</x:v>
      </x:c>
      <x:c r="G124" s="21" t="str">
        <x:v>某逆流解吸塔，若气液入口组成及温度、压力均不变，而气量与液量同比例减少， 对液膜控制系统，气体出口组成Ya将 ，液体出口组成xb将 ，溶质解吸率 将</x:v>
      </x:c>
      <x:c r="H124" s="15" t="str">
        <x:v>A</x:v>
      </x:c>
      <x:c r="I124" s="15" t="str">
        <x:v>28</x:v>
      </x:c>
      <x:c r="J124" s="15" t="str">
        <x:v>汇编题卷（未核实官方原卷）</x:v>
      </x:c>
      <x:c r="K124" s="22" t="str">
        <x:v>扫描题干摘录，公式与数值做题前核对原PDF。</x:v>
      </x:c>
    </x:row>
    <x:row r="125" ht="66" customHeight="1">
      <x:c r="A125" s="18" t="n">
        <x:v>2005</x:v>
      </x:c>
      <x:c r="B125" s="19" t="str">
        <x:v>2005年 一、填空第12题</x:v>
      </x:c>
      <x:c r="C125" s="19" t="str">
        <x:v>填空</x:v>
      </x:c>
      <x:c r="D125" s="20"/>
      <x:c r="E125" s="15" t="str">
        <x:v>精馏衡算、操作线与进料热状态</x:v>
      </x:c>
      <x:c r="F125" s="15" t="str">
        <x:v>|D2|D4|</x:v>
      </x:c>
      <x:c r="G125" s="21" t="str">
        <x:v>某连续操作精馏塔，进料量为F，进料组成为 xF，进料状为α，塔顶产品量为 D，组成为 xD，塔釜组成为 xw。如果F、q、xD和 xw变 xF变小，则塔顶产品量 _，塔釜产品量，回流比 _。(增加减、不变、不确定)</x:v>
      </x:c>
      <x:c r="H125" s="15" t="str">
        <x:v>A</x:v>
      </x:c>
      <x:c r="I125" s="15" t="str">
        <x:v>28</x:v>
      </x:c>
      <x:c r="J125" s="15" t="str">
        <x:v>汇编题卷（未核实官方原卷）</x:v>
      </x:c>
      <x:c r="K125" s="22" t="str">
        <x:v>扫描题干摘录，公式与数值做题前核对原PDF。</x:v>
      </x:c>
    </x:row>
    <x:row r="126" ht="66" customHeight="1">
      <x:c r="A126" s="18" t="n">
        <x:v>2005</x:v>
      </x:c>
      <x:c r="B126" s="19" t="str">
        <x:v>2005年 一、填空第13题</x:v>
      </x:c>
      <x:c r="C126" s="19" t="str">
        <x:v>填空</x:v>
      </x:c>
      <x:c r="D126" s="20"/>
      <x:c r="E126" s="15" t="str">
        <x:v>传质单元、填料高度与理论级</x:v>
      </x:c>
      <x:c r="F126" s="15" t="str">
        <x:v>|A4|</x:v>
      </x:c>
      <x:c r="G126" s="21" t="str">
        <x:v>HETP是指 旨，NoG代表气相总传质巢元数，NoL代表液相总传质单元数， NoLNoG=_，当_ 时，HETP=H。</x:v>
      </x:c>
      <x:c r="H126" s="15" t="str">
        <x:v>A</x:v>
      </x:c>
      <x:c r="I126" s="15" t="str">
        <x:v>28</x:v>
      </x:c>
      <x:c r="J126" s="15" t="str">
        <x:v>汇编题卷（未核实官方原卷）</x:v>
      </x:c>
      <x:c r="K126" s="22" t="str">
        <x:v>扫描题干摘录，公式与数值做题前核对原PDF。</x:v>
      </x:c>
    </x:row>
    <x:row r="127" ht="66" customHeight="1">
      <x:c r="A127" s="18" t="n">
        <x:v>2005</x:v>
      </x:c>
      <x:c r="B127" s="19" t="str">
        <x:v>2005年 一、填空第14题</x:v>
      </x:c>
      <x:c r="C127" s="19" t="str">
        <x:v>填空</x:v>
      </x:c>
      <x:c r="D127" s="20"/>
      <x:c r="E127" s="15" t="str">
        <x:v>精馏衡算、操作线与进料热状态</x:v>
      </x:c>
      <x:c r="F127" s="15" t="str">
        <x:v>|D2|D3|</x:v>
      </x:c>
      <x:c r="G127" s="21" t="str">
        <x:v>分离要求一定，当回流比一定，在五种进料状况中， 进料的q值最大， 此时，提馏段操作线与平衡线胸的距离 ，分离所需的总理论板数</x:v>
      </x:c>
      <x:c r="H127" s="15" t="str">
        <x:v>A</x:v>
      </x:c>
      <x:c r="I127" s="15" t="str">
        <x:v>28</x:v>
      </x:c>
      <x:c r="J127" s="15" t="str">
        <x:v>汇编题卷（未核实官方原卷）</x:v>
      </x:c>
      <x:c r="K127" s="22" t="str">
        <x:v>扫描题干摘录，公式与数值做题前核对原PDF。</x:v>
      </x:c>
    </x:row>
    <x:row r="128" ht="66" customHeight="1">
      <x:c r="A128" s="18" t="n">
        <x:v>2005</x:v>
      </x:c>
      <x:c r="B128" s="19" t="str">
        <x:v>2005年 一、填空第15题</x:v>
      </x:c>
      <x:c r="C128" s="19" t="str">
        <x:v>填空</x:v>
      </x:c>
      <x:c r="D128" s="20"/>
      <x:c r="E128" s="15" t="str">
        <x:v>简单、间歇与特殊蒸馏</x:v>
      </x:c>
      <x:c r="F128" s="15" t="str">
        <x:v>|D5|</x:v>
      </x:c>
      <x:c r="G128" s="21" t="str">
        <x:v>萃取蒸馏是在体系中加人葵取剂来改善体系的 ——，一般萃取剂的加入浓度越 大，变化越大。</x:v>
      </x:c>
      <x:c r="H128" s="15" t="str">
        <x:v>A</x:v>
      </x:c>
      <x:c r="I128" s="15" t="str">
        <x:v>28</x:v>
      </x:c>
      <x:c r="J128" s="15" t="str">
        <x:v>汇编题卷（未核实官方原卷）</x:v>
      </x:c>
      <x:c r="K128" s="22" t="str">
        <x:v>扫描题干摘录，公式与数值做题前核对原PDF。</x:v>
      </x:c>
    </x:row>
    <x:row r="129" ht="66" customHeight="1">
      <x:c r="A129" s="18" t="n">
        <x:v>2005</x:v>
      </x:c>
      <x:c r="B129" s="19" t="str">
        <x:v>2005年 一、填空第16题</x:v>
      </x:c>
      <x:c r="C129" s="19" t="str">
        <x:v>填空</x:v>
      </x:c>
      <x:c r="D129" s="20"/>
      <x:c r="E129" s="15" t="str">
        <x:v>选择性、分配系数与单级萃取</x:v>
      </x:c>
      <x:c r="F129" s="15" t="str">
        <x:v>|X1|</x:v>
      </x:c>
      <x:c r="G129" s="21" t="str">
        <x:v>单级萃取操作中，在维持相同萃余相浓度下，用含有少量溶质的萃取剂S'代替 溶剂S，则萃取相量与萃余相量之比将 _，萃取液的浓度将 。（增加、减少、 不变、不确定)</x:v>
      </x:c>
      <x:c r="H129" s="15" t="str">
        <x:v>A</x:v>
      </x:c>
      <x:c r="I129" s="15" t="str">
        <x:v>28</x:v>
      </x:c>
      <x:c r="J129" s="15" t="str">
        <x:v>汇编题卷（未核实官方原卷）</x:v>
      </x:c>
      <x:c r="K129" s="22" t="str">
        <x:v>扫描题干摘录，公式与数值做题前核对原PDF。</x:v>
      </x:c>
    </x:row>
    <x:row r="130" ht="66" customHeight="1">
      <x:c r="A130" s="18" t="n">
        <x:v>2005</x:v>
      </x:c>
      <x:c r="B130" s="19" t="str">
        <x:v>2005年 一、填空第17题</x:v>
      </x:c>
      <x:c r="C130" s="19" t="str">
        <x:v>填空</x:v>
      </x:c>
      <x:c r="D130" s="20"/>
      <x:c r="E130" s="15" t="str">
        <x:v>板式 / 填料塔、液泛与负荷图</x:v>
      </x:c>
      <x:c r="F130" s="15" t="str">
        <x:v>|T1|</x:v>
      </x:c>
      <x:c r="G130" s="21" t="str">
        <x:v>板我塔的处理能力操作上限可分为 液泛和 液泛。</x:v>
      </x:c>
      <x:c r="H130" s="15" t="str">
        <x:v>A</x:v>
      </x:c>
      <x:c r="I130" s="15" t="str">
        <x:v>28</x:v>
      </x:c>
      <x:c r="J130" s="15" t="str">
        <x:v>汇编题卷（未核实官方原卷）</x:v>
      </x:c>
      <x:c r="K130" s="22" t="str">
        <x:v>扫描题干摘录，公式与数值做题前核对原PDF。</x:v>
      </x:c>
    </x:row>
    <x:row r="131" ht="66" customHeight="1">
      <x:c r="A131" s="18" t="n">
        <x:v>2005</x:v>
      </x:c>
      <x:c r="B131" s="19" t="str">
        <x:v>2005年 二、计算</x:v>
      </x:c>
      <x:c r="C131" s="19" t="str">
        <x:v>计算</x:v>
      </x:c>
      <x:c r="D131" s="20" t="n">
        <x:v>18</x:v>
      </x:c>
      <x:c r="E131" s="15" t="str">
        <x:v>泵特性、工作点、调节与功率</x:v>
      </x:c>
      <x:c r="F131" s="15" t="str">
        <x:v>|P1|F2|F3|</x:v>
      </x:c>
      <x:c r="G131" s="21" t="str">
        <x:v>用一离心泵将密度为800kg/m?的煤油从罐A送至塔B顶作吸收剂。已知罐A 上方通大气，塔B内压力为0.03MPa（表），管线全长350m（包括除阀K以外的全 部直管及管件的当量长度），管线规格全为Φ57×3.5mm，摩擦系数可视为常数入=0.02， 入塔管口与罐A液面的垂直距离为20m。泵的特性曲线为H=40-0.075Q²（H一m， Q一m²/h)。阀K全开时的输送量为8.48m²/h。试求： （1）阀K全开时的局部阻力系数及当量长度； （2）若K开度不变，应在直管段多长范围内并联一根等长等径的管子，可使煤油 流量增加5%。 B 20m</x:v>
      </x:c>
      <x:c r="H131" s="15" t="str">
        <x:v>A</x:v>
      </x:c>
      <x:c r="I131" s="15" t="str">
        <x:v>28、29</x:v>
      </x:c>
      <x:c r="J131" s="15" t="str">
        <x:v>汇编题卷（未核实官方原卷）</x:v>
      </x:c>
      <x:c r="K131" s="22" t="str">
        <x:v>扫描题干摘录，公式与数值做题前核对原PDF。</x:v>
      </x:c>
    </x:row>
    <x:row r="132" ht="66" customHeight="1">
      <x:c r="A132" s="18" t="n">
        <x:v>2005</x:v>
      </x:c>
      <x:c r="B132" s="19" t="str">
        <x:v>2005年 三、计算</x:v>
      </x:c>
      <x:c r="C132" s="19" t="str">
        <x:v>计算</x:v>
      </x:c>
      <x:c r="D132" s="20" t="n">
        <x:v>15</x:v>
      </x:c>
      <x:c r="E132" s="15" t="str">
        <x:v>洗涤、板框 / 转筒与生产能力</x:v>
      </x:c>
      <x:c r="F132" s="15" t="str">
        <x:v>|S4|S3|</x:v>
      </x:c>
      <x:c r="G132" s="21" t="str">
        <x:v>拟用一板框过滤机处理某一悬浮液，滤饼与滤 类积之比C=0.04m²/m²。在 1.5atm的操作压力下，过滤常数K=2.73x10-m 过滤介质阻力可忽略不计，滤饼 不可压缩。 （1） 若要求过滤1h获取0.41m?的滤饼试求所需的过滤面积; (2) 若选用板框长×宽的规格物0.8.16.81m²，试确定框数及框的厚度； （3）若滤饼不需洗涤，拆装时简需45min，试求为使上述板框过滤机生产能力达到 最大时，其操作压力应提高至多少？</x:v>
      </x:c>
      <x:c r="H132" s="15" t="str">
        <x:v>A</x:v>
      </x:c>
      <x:c r="I132" s="15" t="str">
        <x:v>29</x:v>
      </x:c>
      <x:c r="J132" s="15" t="str">
        <x:v>汇编题卷（未核实官方原卷）</x:v>
      </x:c>
      <x:c r="K132" s="22" t="str">
        <x:v>扫描题干摘录，公式与数值做题前核对原PDF。</x:v>
      </x:c>
    </x:row>
    <x:row r="133" ht="66" customHeight="1">
      <x:c r="A133" s="18" t="n">
        <x:v>2005</x:v>
      </x:c>
      <x:c r="B133" s="19" t="str">
        <x:v>2005年 四、计算</x:v>
      </x:c>
      <x:c r="C133" s="19" t="str">
        <x:v>计算</x:v>
      </x:c>
      <x:c r="D133" s="20" t="n">
        <x:v>22</x:v>
      </x:c>
      <x:c r="E133" s="15" t="str">
        <x:v>换热器设计、校核与操作计算</x:v>
      </x:c>
      <x:c r="F133" s="15" t="str">
        <x:v>|H4|H2|H3|</x:v>
      </x:c>
      <x:c r="G133" s="21" t="str">
        <x:v>在一单管程单耄程的列管换热器中用常压饱和水蒸气加热管内的原料气。水蒸 气走壳程；冷凝水不过冷。原料气进、出口温度分别为 ti=40℃，t2=80℃，流量为 2200kg/h，在定性温度下的比热为2.8kJ/(kg.℃),密度为1.3kg/m²，管内流速为15m/s, 此时管内给热系数α=100W/（m2.C）。换热管规格为Φ25x2.5mm。传热控制热阻可 视为在管内侧，热损失忽略不计。 （1） 试求该换热器的管子根数及管长； （2） 经操作一年后，由于管内结垢，原料气出口温度降至75℃，试估计此时以管 内表面积为基准的总传热系数及污垢热阻Rαl; （3）结垢后，仍希望管程出口温度维持在80℃，有人建议将原料气流量减半，试 核算此法</x:v>
      </x:c>
      <x:c r="H133" s="15" t="str">
        <x:v>A</x:v>
      </x:c>
      <x:c r="I133" s="15" t="str">
        <x:v>29、30</x:v>
      </x:c>
      <x:c r="J133" s="15" t="str">
        <x:v>汇编题卷（未核实官方原卷）</x:v>
      </x:c>
      <x:c r="K133" s="22" t="str">
        <x:v>扫描题干摘录，公式与数值做题前核对原PDF。</x:v>
      </x:c>
    </x:row>
    <x:row r="134" ht="66" customHeight="1">
      <x:c r="A134" s="18" t="n">
        <x:v>2005</x:v>
      </x:c>
      <x:c r="B134" s="19" t="str">
        <x:v>2005年 五、计算</x:v>
      </x:c>
      <x:c r="C134" s="19" t="str">
        <x:v>计算</x:v>
      </x:c>
      <x:c r="D134" s="20" t="n">
        <x:v>27</x:v>
      </x:c>
      <x:c r="E134" s="15" t="str">
        <x:v>传质单元、填料高度与理论级</x:v>
      </x:c>
      <x:c r="F134" s="15" t="str">
        <x:v>|A4|A3|A5|</x:v>
      </x:c>
      <x:c r="G134" s="21" t="str">
        <x:v>某填料吸收塔（如图所示)，用纯溶剂逆流吸收某二元混合气中的组分A，已知 填料层高 4m，入塔气体的浓度yb=0.02（摩尔分率，下同)，溶剂对A 组分的吸收率 为80%，出塔液相的组成 xb=0.008，并且还知道操作条件下的气液相平衡关系为 y*=1.5x，现在求： (1) 相总传质单元数N (2) 作液气比（LV为小液气比（L/V）min的多少倍; （3）若气、液相的量和进口组成保持不变，在该塔上串联一个同样的塔，那么由于 汽相出口浓度是多少？ （4）如巢该混合气经吸收后，出塔浓度仍然达不到环保要求，请问可以采取哪些措 施提高溶剂对A组分的回收率？</x:v>
      </x:c>
      <x:c r="H134" s="15" t="str">
        <x:v>A</x:v>
      </x:c>
      <x:c r="I134" s="15" t="str">
        <x:v>30</x:v>
      </x:c>
      <x:c r="J134" s="15" t="str">
        <x:v>汇编题卷（未核实官方原卷）</x:v>
      </x:c>
      <x:c r="K134" s="22" t="str">
        <x:v>扫描题干摘录，公式与数值做题前核对原PDF。</x:v>
      </x:c>
    </x:row>
    <x:row r="135" ht="66" customHeight="1">
      <x:c r="A135" s="18" t="n">
        <x:v>2005</x:v>
      </x:c>
      <x:c r="B135" s="19" t="str">
        <x:v>2005年 六、计算</x:v>
      </x:c>
      <x:c r="C135" s="19" t="str">
        <x:v>计算</x:v>
      </x:c>
      <x:c r="D135" s="20" t="n">
        <x:v>27</x:v>
      </x:c>
      <x:c r="E135" s="15" t="str">
        <x:v>精馏衡算、操作线与进料热状态</x:v>
      </x:c>
      <x:c r="F135" s="15" t="str">
        <x:v>|D2|D3|D1|</x:v>
      </x:c>
      <x:c r="G135" s="21" t="str">
        <x:v>一连续精馏塔分离某二元理想混合物，已知进料量F=10kmol/s,进料组成xF=0.5 （摩尔分率，下同)，进料为饱和蒸汽，塔顶产品的组成xD=0.95，塔底产品的组成 xw=0.1，系统的相对挥发度α=2。塔底采用再沸器，塔顶采用全凝器，泡点回流，塔 釜的汽化量是最小汽化量的2倍。 试求： (1) 塔顶易挥发组分的回收率； （2）塔釜的汽化量； (3）流出第二块板的液相组成（从上往下数)。 470523427</x:v>
      </x:c>
      <x:c r="H135" s="15" t="str">
        <x:v>A</x:v>
      </x:c>
      <x:c r="I135" s="15" t="str">
        <x:v>30、31</x:v>
      </x:c>
      <x:c r="J135" s="15" t="str">
        <x:v>汇编题卷（未核实官方原卷）</x:v>
      </x:c>
      <x:c r="K135" s="22" t="str">
        <x:v>扫描题干摘录，公式与数值做题前核对原PDF。</x:v>
      </x:c>
    </x:row>
    <x:row r="136" ht="66" customHeight="1">
      <x:c r="A136" s="18" t="n">
        <x:v>2006</x:v>
      </x:c>
      <x:c r="B136" s="19" t="str">
        <x:v>2006年 一、填空第1题</x:v>
      </x:c>
      <x:c r="C136" s="19" t="str">
        <x:v>填空</x:v>
      </x:c>
      <x:c r="D136" s="20"/>
      <x:c r="E136" s="15" t="str">
        <x:v>边界层与因次分析</x:v>
      </x:c>
      <x:c r="F136" s="15" t="str">
        <x:v>|F4|</x:v>
      </x:c>
      <x:c r="G136" s="21" t="str">
        <x:v>下图表示流体在圆形直管进口段内流动时边发展的情况，图中ab截面管中 心a点的流速为uo，b点的流速为u，图示中所表示的符号意义是：i表示 ，&amp;2 表示 ，83表示 v-表示》 _u与u的关系是 a u。 u x</x:v>
      </x:c>
      <x:c r="H136" s="15" t="str">
        <x:v>A</x:v>
      </x:c>
      <x:c r="I136" s="15" t="str">
        <x:v>32</x:v>
      </x:c>
      <x:c r="J136" s="15" t="str">
        <x:v>汇编题卷（未核实官方原卷）</x:v>
      </x:c>
      <x:c r="K136" s="22" t="str">
        <x:v>扫描题干摘录，公式与数值做题前核对原PDF。</x:v>
      </x:c>
    </x:row>
    <x:row r="137" ht="66" customHeight="1">
      <x:c r="A137" s="18" t="n">
        <x:v>2006</x:v>
      </x:c>
      <x:c r="B137" s="19" t="str">
        <x:v>2006年 一、填空第2题</x:v>
      </x:c>
      <x:c r="C137" s="19" t="str">
        <x:v>填空</x:v>
      </x:c>
      <x:c r="D137" s="20"/>
      <x:c r="E137" s="15" t="str">
        <x:v>测速管、孔板与转子流量计</x:v>
      </x:c>
      <x:c r="F137" s="15" t="str">
        <x:v>|F5|</x:v>
      </x:c>
      <x:c r="G137" s="21" t="str">
        <x:v>当流量增大时，流体通过转子流量计的压强差</x:v>
      </x:c>
      <x:c r="H137" s="15" t="str">
        <x:v>A</x:v>
      </x:c>
      <x:c r="I137" s="15" t="str">
        <x:v>32</x:v>
      </x:c>
      <x:c r="J137" s="15" t="str">
        <x:v>汇编题卷（未核实官方原卷）</x:v>
      </x:c>
      <x:c r="K137" s="22" t="str">
        <x:v>扫描题干摘录，公式与数值做题前核对原PDF。</x:v>
      </x:c>
    </x:row>
    <x:row r="138" ht="66" customHeight="1">
      <x:c r="A138" s="18" t="n">
        <x:v>2006</x:v>
      </x:c>
      <x:c r="B138" s="19" t="str">
        <x:v>2006年 一、填空第3题</x:v>
      </x:c>
      <x:c r="C138" s="19" t="str">
        <x:v>填空</x:v>
      </x:c>
      <x:c r="D138" s="20"/>
      <x:c r="E138" s="15" t="str">
        <x:v>汽蚀、气缚、安装与开停</x:v>
      </x:c>
      <x:c r="F138" s="15" t="str">
        <x:v>|P2|</x:v>
      </x:c>
      <x:c r="G138" s="21" t="str">
        <x:v>当离心泵内充满空气时，将发生气缚现象，这是因为</x:v>
      </x:c>
      <x:c r="H138" s="15" t="str">
        <x:v>A</x:v>
      </x:c>
      <x:c r="I138" s="15" t="str">
        <x:v>32</x:v>
      </x:c>
      <x:c r="J138" s="15" t="str">
        <x:v>汇编题卷（未核实官方原卷）</x:v>
      </x:c>
      <x:c r="K138" s="22" t="str">
        <x:v>扫描题干摘录，公式与数值做题前核对原PDF。</x:v>
      </x:c>
    </x:row>
    <x:row r="139" ht="66" customHeight="1">
      <x:c r="A139" s="18" t="n">
        <x:v>2006</x:v>
      </x:c>
      <x:c r="B139" s="19" t="str">
        <x:v>2006年 一、填空第4题</x:v>
      </x:c>
      <x:c r="C139" s="19" t="str">
        <x:v>填空</x:v>
      </x:c>
      <x:c r="D139" s="20"/>
      <x:c r="E139" s="15" t="str">
        <x:v>颗粒粒径、沉降与降尘室</x:v>
      </x:c>
      <x:c r="F139" s="15" t="str">
        <x:v>|S1|</x:v>
      </x:c>
      <x:c r="G139" s="21" t="str">
        <x:v>一隆尘室长5m，宽2.5m，高1.1m，中间装有10块隔板，隔板间距为0.1m。现 颗粒最小直径为10um，其沉降速度为0.0lm/s，欲将最小直径的颗粒全部沉降下来。 含尘气体的最大流速不能超过 m/s。</x:v>
      </x:c>
      <x:c r="H139" s="15" t="str">
        <x:v>A</x:v>
      </x:c>
      <x:c r="I139" s="15" t="str">
        <x:v>32</x:v>
      </x:c>
      <x:c r="J139" s="15" t="str">
        <x:v>汇编题卷（未核实官方原卷）</x:v>
      </x:c>
      <x:c r="K139" s="22" t="str">
        <x:v>扫描题干摘录，公式与数值做题前核对原PDF。</x:v>
      </x:c>
    </x:row>
    <x:row r="140" ht="66" customHeight="1">
      <x:c r="A140" s="18" t="n">
        <x:v>2006</x:v>
      </x:c>
      <x:c r="B140" s="19" t="str">
        <x:v>2006年 一、填空第5题</x:v>
      </x:c>
      <x:c r="C140" s="19" t="str">
        <x:v>填空</x:v>
      </x:c>
      <x:c r="D140" s="20"/>
      <x:c r="E140" s="15" t="str">
        <x:v>床层压降、流化状态与异常</x:v>
      </x:c>
      <x:c r="F140" s="15" t="str">
        <x:v>|B1|</x:v>
      </x:c>
      <x:c r="G140" s="21" t="str">
        <x:v>在生产操作中，通过测量流化床的压力降可判断提作是否正常。如压力降较正常 值低，可能有 现象；如压力降上下波动剧烈，可能出现 现象。</x:v>
      </x:c>
      <x:c r="H140" s="15" t="str">
        <x:v>A</x:v>
      </x:c>
      <x:c r="I140" s="15" t="str">
        <x:v>32</x:v>
      </x:c>
      <x:c r="J140" s="15" t="str">
        <x:v>汇编题卷（未核实官方原卷）</x:v>
      </x:c>
      <x:c r="K140" s="22" t="str">
        <x:v>扫描题干摘录，公式与数值做题前核对原PDF。</x:v>
      </x:c>
    </x:row>
    <x:row r="141" ht="66" customHeight="1">
      <x:c r="A141" s="18" t="n">
        <x:v>2006</x:v>
      </x:c>
      <x:c r="B141" s="19" t="str">
        <x:v>2006年 一、填空第6题</x:v>
      </x:c>
      <x:c r="C141" s="19" t="str">
        <x:v>填空</x:v>
      </x:c>
      <x:c r="D141" s="20"/>
      <x:c r="E141" s="15" t="str">
        <x:v>洗涤、板框 / 转筒与生产能力</x:v>
      </x:c>
      <x:c r="F141" s="15" t="str">
        <x:v>|S4|S3|</x:v>
      </x:c>
      <x:c r="G141" s="21" t="str">
        <x:v>转筒真空过滤机，转速越快，每转获得的滤液量就越 ，单位时问获得的滤液 量就越 ，过滤阻力就越</x:v>
      </x:c>
      <x:c r="H141" s="15" t="str">
        <x:v>A</x:v>
      </x:c>
      <x:c r="I141" s="15" t="str">
        <x:v>33</x:v>
      </x:c>
      <x:c r="J141" s="15" t="str">
        <x:v>汇编题卷（未核实官方原卷）</x:v>
      </x:c>
      <x:c r="K141" s="22" t="str">
        <x:v>扫描题干摘录，公式与数值做题前核对原PDF。</x:v>
      </x:c>
    </x:row>
    <x:row r="142" ht="66" customHeight="1">
      <x:c r="A142" s="18" t="n">
        <x:v>2006</x:v>
      </x:c>
      <x:c r="B142" s="19" t="str">
        <x:v>2006年 一、填空第7题</x:v>
      </x:c>
      <x:c r="C142" s="19" t="str">
        <x:v>填空</x:v>
      </x:c>
      <x:c r="D142" s="20"/>
      <x:c r="E142" s="15" t="str">
        <x:v>热辐射</x:v>
      </x:c>
      <x:c r="F142" s="15" t="str">
        <x:v>|O1|</x:v>
      </x:c>
      <x:c r="G142" s="21" t="str">
        <x:v>*为了减少室外设备的热损失，保温层外所包的一层金属皮应该是 A．表面光滑，颜色较浅B．表面粗糙，颜色较深C．表面粗糙，颜色较浅</x:v>
      </x:c>
      <x:c r="H142" s="15" t="str">
        <x:v>A</x:v>
      </x:c>
      <x:c r="I142" s="15" t="str">
        <x:v>33</x:v>
      </x:c>
      <x:c r="J142" s="15" t="str">
        <x:v>汇编题卷（未核实官方原卷）</x:v>
      </x:c>
      <x:c r="K142" s="22" t="str">
        <x:v>扫描题干摘录，公式与数值做题前核对原PDF。</x:v>
      </x:c>
    </x:row>
    <x:row r="143" ht="66" customHeight="1">
      <x:c r="A143" s="18" t="n">
        <x:v>2006</x:v>
      </x:c>
      <x:c r="B143" s="19" t="str">
        <x:v>2006年 一、填空第8题</x:v>
      </x:c>
      <x:c r="C143" s="19" t="str">
        <x:v>填空</x:v>
      </x:c>
      <x:c r="D143" s="20"/>
      <x:c r="E143" s="15" t="str">
        <x:v>导热、保温与临界直径</x:v>
      </x:c>
      <x:c r="F143" s="15" t="str">
        <x:v>|H1|</x:v>
      </x:c>
      <x:c r="G143" s="21" t="str">
        <x:v>碳钢的导热系数为 ，铜的导热系数为 ，20C空气的导热系数为 20℃水的导热系数为 A.370W/mC B.0.6W/m·°C C.0.026 W/m·°C D. 45W/mC</x:v>
      </x:c>
      <x:c r="H143" s="15" t="str">
        <x:v>A</x:v>
      </x:c>
      <x:c r="I143" s="15" t="str">
        <x:v>33</x:v>
      </x:c>
      <x:c r="J143" s="15" t="str">
        <x:v>汇编题卷（未核实官方原卷）</x:v>
      </x:c>
      <x:c r="K143" s="22" t="str">
        <x:v>扫描题干摘录，公式与数值做题前核对原PDF。</x:v>
      </x:c>
    </x:row>
    <x:row r="144" ht="66" customHeight="1">
      <x:c r="A144" s="18" t="n">
        <x:v>2006</x:v>
      </x:c>
      <x:c r="B144" s="19" t="str">
        <x:v>2006年 一、填空第9题</x:v>
      </x:c>
      <x:c r="C144" s="19" t="str">
        <x:v>填空</x:v>
      </x:c>
      <x:c r="D144" s="20"/>
      <x:c r="E144" s="15" t="str">
        <x:v>沸腾与冷凝传热</x:v>
      </x:c>
      <x:c r="F144" s="15" t="str">
        <x:v>|H6|H5|</x:v>
      </x:c>
      <x:c r="G144" s="21" t="str">
        <x:v>在一卧式加热器中，利用水蒸气冷凝来加热某种液体，应让加热蒸汽在，》 程流 动。加热器顶部设置排气阀是为了</x:v>
      </x:c>
      <x:c r="H144" s="15" t="str">
        <x:v>A</x:v>
      </x:c>
      <x:c r="I144" s="15" t="str">
        <x:v>33</x:v>
      </x:c>
      <x:c r="J144" s="15" t="str">
        <x:v>汇编题卷（未核实官方原卷）</x:v>
      </x:c>
      <x:c r="K144" s="22" t="str">
        <x:v>扫描题干摘录，公式与数值做题前核对原PDF。</x:v>
      </x:c>
    </x:row>
    <x:row r="145" ht="66" customHeight="1">
      <x:c r="A145" s="18" t="n">
        <x:v>2006</x:v>
      </x:c>
      <x:c r="B145" s="19" t="str">
        <x:v>2006年 一、填空第10题</x:v>
      </x:c>
      <x:c r="C145" s="19" t="str">
        <x:v>填空</x:v>
      </x:c>
      <x:c r="D145" s="20"/>
      <x:c r="E145" s="15" t="str">
        <x:v>双膜理论、控制阻力与传质系数</x:v>
      </x:c>
      <x:c r="F145" s="15" t="str">
        <x:v>|A2|</x:v>
      </x:c>
      <x:c r="G145" s="21" t="str">
        <x:v>用水吸收氨气，该吸收过程为 阻力控制过程（气相液相）两相）。下面哪 一项是正确的 A．界面液相浓度ci接近于液相主体浓度cL; B．界面气相分压pi接近于气相主体分压 pG;</x:v>
      </x:c>
      <x:c r="H145" s="15" t="str">
        <x:v>A</x:v>
      </x:c>
      <x:c r="I145" s="15" t="str">
        <x:v>33</x:v>
      </x:c>
      <x:c r="J145" s="15" t="str">
        <x:v>汇编题卷（未核实官方原卷）</x:v>
      </x:c>
      <x:c r="K145" s="22" t="str">
        <x:v>扫描题干摘录，公式与数值做题前核对原PDF。</x:v>
      </x:c>
    </x:row>
    <x:row r="146" ht="66" customHeight="1">
      <x:c r="A146" s="18" t="n">
        <x:v>2006</x:v>
      </x:c>
      <x:c r="B146" s="19" t="str">
        <x:v>2006年 一、填空第11题</x:v>
      </x:c>
      <x:c r="C146" s="19" t="str">
        <x:v>填空</x:v>
      </x:c>
      <x:c r="D146" s="20"/>
      <x:c r="E146" s="15" t="str">
        <x:v>双膜理论、控制阻力与传质系数</x:v>
      </x:c>
      <x:c r="F146" s="15" t="str">
        <x:v>|A2|</x:v>
      </x:c>
      <x:c r="G146" s="21" t="str">
        <x:v>总传质系数与分传质系数之间的关系可以表示为1/KL=1/kL+H/kG，其中1/k 表 示 ，当 项可忽略时，袭示该吸收过程为液膜控制。</x:v>
      </x:c>
      <x:c r="H146" s="15" t="str">
        <x:v>A</x:v>
      </x:c>
      <x:c r="I146" s="15" t="str">
        <x:v>33</x:v>
      </x:c>
      <x:c r="J146" s="15" t="str">
        <x:v>汇编题卷（未核实官方原卷）</x:v>
      </x:c>
      <x:c r="K146" s="22" t="str">
        <x:v>扫描题干摘录，公式与数值做题前核对原PDF。</x:v>
      </x:c>
    </x:row>
    <x:row r="147" ht="66" customHeight="1">
      <x:c r="A147" s="18" t="n">
        <x:v>2006</x:v>
      </x:c>
      <x:c r="B147" s="19" t="str">
        <x:v>2006年 一、填空第12题</x:v>
      </x:c>
      <x:c r="C147" s="19" t="str">
        <x:v>填空</x:v>
      </x:c>
      <x:c r="D147" s="20"/>
      <x:c r="E147" s="15" t="str">
        <x:v>物料衡算、操作线与最小液气比</x:v>
      </x:c>
      <x:c r="F147" s="15" t="str">
        <x:v>|A3|</x:v>
      </x:c>
      <x:c r="G147" s="21" t="str">
        <x:v>对于气体吸收塔来说，如巢增高不受限制，可能达到的最大吸收率nmax与下面 所述的那个量 无关 A.液气比 匕B液体入塔浓度C．相平衡常数D．吸收塔型式</x:v>
      </x:c>
      <x:c r="H147" s="15" t="str">
        <x:v>A</x:v>
      </x:c>
      <x:c r="I147" s="15" t="str">
        <x:v>33</x:v>
      </x:c>
      <x:c r="J147" s="15" t="str">
        <x:v>汇编题卷（未核实官方原卷）</x:v>
      </x:c>
      <x:c r="K147" s="22" t="str">
        <x:v>扫描题干摘录，公式与数值做题前核对原PDF。</x:v>
      </x:c>
    </x:row>
    <x:row r="148" ht="66" customHeight="1">
      <x:c r="A148" s="18" t="n">
        <x:v>2006</x:v>
      </x:c>
      <x:c r="B148" s="19" t="str">
        <x:v>2006年 一、填空第13题</x:v>
      </x:c>
      <x:c r="C148" s="19" t="str">
        <x:v>填空</x:v>
      </x:c>
      <x:c r="D148" s="20"/>
      <x:c r="E148" s="15" t="str">
        <x:v>物料衡算、操作线与最小液气比</x:v>
      </x:c>
      <x:c r="F148" s="15" t="str">
        <x:v>|A3|</x:v>
      </x:c>
      <x:c r="G148" s="21" t="str">
        <x:v>在某填料吸收塔中，用纯溶剂吸收某混合气中的溶质，假定气体入口浓度不变， 在同样的操作条件下完成同样的分离任务。逆流操作所需的最小液汽比（L/V）mm 并流操作所需的最小液汽比（L/V）min并流，原因是</x:v>
      </x:c>
      <x:c r="H148" s="15" t="str">
        <x:v>A</x:v>
      </x:c>
      <x:c r="I148" s="15" t="str">
        <x:v>33</x:v>
      </x:c>
      <x:c r="J148" s="15" t="str">
        <x:v>汇编题卷（未核实官方原卷）</x:v>
      </x:c>
      <x:c r="K148" s="22" t="str">
        <x:v>扫描题干摘录，公式与数值做题前核对原PDF。</x:v>
      </x:c>
    </x:row>
    <x:row r="149" ht="66" customHeight="1">
      <x:c r="A149" s="18" t="n">
        <x:v>2006</x:v>
      </x:c>
      <x:c r="B149" s="19" t="str">
        <x:v>2006年 一、填空第14题</x:v>
      </x:c>
      <x:c r="C149" s="19" t="str">
        <x:v>填空</x:v>
      </x:c>
      <x:c r="D149" s="20"/>
      <x:c r="E149" s="15" t="str">
        <x:v>简单、间歇与特殊蒸馏</x:v>
      </x:c>
      <x:c r="F149" s="15" t="str">
        <x:v>|D5|</x:v>
      </x:c>
      <x:c r="G149" s="21" t="str">
        <x:v>水蒸汽蒸馏的先决条件是 ，这样可以 体系的沸点。</x:v>
      </x:c>
      <x:c r="H149" s="15" t="str">
        <x:v>A</x:v>
      </x:c>
      <x:c r="I149" s="15" t="str">
        <x:v>33</x:v>
      </x:c>
      <x:c r="J149" s="15" t="str">
        <x:v>汇编题卷（未核实官方原卷）</x:v>
      </x:c>
      <x:c r="K149" s="22" t="str">
        <x:v>扫描题干摘录，公式与数值做题前核对原PDF。</x:v>
      </x:c>
    </x:row>
    <x:row r="150" ht="66" customHeight="1">
      <x:c r="A150" s="18" t="n">
        <x:v>2006</x:v>
      </x:c>
      <x:c r="B150" s="19" t="str">
        <x:v>2006年 一、填空第15题</x:v>
      </x:c>
      <x:c r="C150" s="19" t="str">
        <x:v>填空</x:v>
      </x:c>
      <x:c r="D150" s="20"/>
      <x:c r="E150" s="15" t="str">
        <x:v>精馏衡算、操作线与进料热状态</x:v>
      </x:c>
      <x:c r="F150" s="15" t="str">
        <x:v>|D2|</x:v>
      </x:c>
      <x:c r="G150" s="21" t="str">
        <x:v>某精馏塔的设计任务是：原料为F、XF，要求塔顶的产品组成为XD，塔底的产品 组成为xW，设计时若选定的回流比R不变，加料热状态由原来的饱和汽相进料改为 饱和液体进料。则精馏段上升蒸汽量V_，精馏段下降液体量L_，提馏段上 升蒸汽量V”_，提馏段下降液体量L’_。（增加、减少、不变、不确定）</x:v>
      </x:c>
      <x:c r="H150" s="15" t="str">
        <x:v>A</x:v>
      </x:c>
      <x:c r="I150" s="15" t="str">
        <x:v>33</x:v>
      </x:c>
      <x:c r="J150" s="15" t="str">
        <x:v>汇编题卷（未核实官方原卷）</x:v>
      </x:c>
      <x:c r="K150" s="22" t="str">
        <x:v>扫描题干摘录，公式与数值做题前核对原PDF。</x:v>
      </x:c>
    </x:row>
    <x:row r="151" ht="66" customHeight="1">
      <x:c r="A151" s="18" t="n">
        <x:v>2006</x:v>
      </x:c>
      <x:c r="B151" s="19" t="str">
        <x:v>2006年 一、填空第16题</x:v>
      </x:c>
      <x:c r="C151" s="19" t="str">
        <x:v>填空</x:v>
      </x:c>
      <x:c r="D151" s="20"/>
      <x:c r="E151" s="15" t="str">
        <x:v>逐板计算、理论板与板效率</x:v>
      </x:c>
      <x:c r="F151" s="15" t="str">
        <x:v>|D3|</x:v>
      </x:c>
      <x:c r="G151" s="21" t="str">
        <x:v>已知精馏塔中第 n-1，n，n+1块实际板（从上至下）的 Murphree 板效率小于1。 与yn相平衡的液相浓度为x，则xn_xn；与xn+1相平衡的气相浓度为yn+1，则 yn+1_ Yn+1’Yn. xn-1.(&gt;、&lt;、=)</x:v>
      </x:c>
      <x:c r="H151" s="15" t="str">
        <x:v>A</x:v>
      </x:c>
      <x:c r="I151" s="15" t="str">
        <x:v>34</x:v>
      </x:c>
      <x:c r="J151" s="15" t="str">
        <x:v>汇编题卷（未核实官方原卷）</x:v>
      </x:c>
      <x:c r="K151" s="22" t="str">
        <x:v>扫描题干摘录，公式与数值做题前核对原PDF。</x:v>
      </x:c>
    </x:row>
    <x:row r="152" ht="66" customHeight="1">
      <x:c r="A152" s="18" t="n">
        <x:v>2006</x:v>
      </x:c>
      <x:c r="B152" s="19" t="str">
        <x:v>2006年 一、填空第17题</x:v>
      </x:c>
      <x:c r="C152" s="19" t="str">
        <x:v>填空</x:v>
      </x:c>
      <x:c r="D152" s="20"/>
      <x:c r="E152" s="15" t="str">
        <x:v>选择性、分配系数与单级萃取</x:v>
      </x:c>
      <x:c r="F152" s="15" t="str">
        <x:v>|X1|</x:v>
      </x:c>
      <x:c r="G152" s="21" t="str">
        <x:v>从A和B 组分完全互溶的溶液中，用溶剂S萃取其中的A组分，如果出现以下 情况将不能进行萃取分离 A.S和B组分完全不互溶，S和A组分完全互溶； B.S和B组分部分互溶，A组分的分配系数kA=l; C.过程的选择性系数β=1； D．过程的选择性系数β&gt;l。</x:v>
      </x:c>
      <x:c r="H152" s="15" t="str">
        <x:v>A</x:v>
      </x:c>
      <x:c r="I152" s="15" t="str">
        <x:v>34</x:v>
      </x:c>
      <x:c r="J152" s="15" t="str">
        <x:v>汇编题卷（未核实官方原卷）</x:v>
      </x:c>
      <x:c r="K152" s="22" t="str">
        <x:v>扫描题干摘录，公式与数值做题前核对原PDF。</x:v>
      </x:c>
    </x:row>
    <x:row r="153" ht="66" customHeight="1">
      <x:c r="A153" s="18" t="n">
        <x:v>2006</x:v>
      </x:c>
      <x:c r="B153" s="19" t="str">
        <x:v>2006年 一、填空第18题</x:v>
      </x:c>
      <x:c r="C153" s="19" t="str">
        <x:v>填空</x:v>
      </x:c>
      <x:c r="D153" s="20"/>
      <x:c r="E153" s="15" t="str">
        <x:v>板式 / 填料塔、液泛与负荷图</x:v>
      </x:c>
      <x:c r="F153" s="15" t="str">
        <x:v>|T1|</x:v>
      </x:c>
      <x:c r="G153" s="21" t="str">
        <x:v>操作弹性是塔设备重要的性能指标之一，操作弹性的定义是 ，在操作过程 中，如果塔内发生降液管液泛，说明 相能力达到上限；如果发生雾沫夹带液泛， 说明 相处理能力达到上限。</x:v>
      </x:c>
      <x:c r="H153" s="15" t="str">
        <x:v>A</x:v>
      </x:c>
      <x:c r="I153" s="15" t="str">
        <x:v>34</x:v>
      </x:c>
      <x:c r="J153" s="15" t="str">
        <x:v>汇编题卷（未核实官方原卷）</x:v>
      </x:c>
      <x:c r="K153" s="22" t="str">
        <x:v>扫描题干摘录，公式与数值做题前核对原PDF。</x:v>
      </x:c>
    </x:row>
    <x:row r="154" ht="66" customHeight="1">
      <x:c r="A154" s="18" t="n">
        <x:v>2006</x:v>
      </x:c>
      <x:c r="B154" s="19" t="str">
        <x:v>2006年 二、计算</x:v>
      </x:c>
      <x:c r="C154" s="19" t="str">
        <x:v>计算</x:v>
      </x:c>
      <x:c r="D154" s="20" t="n">
        <x:v>22</x:v>
      </x:c>
      <x:c r="E154" s="15" t="str">
        <x:v>泵特性、工作点、调节与功率</x:v>
      </x:c>
      <x:c r="F154" s="15" t="str">
        <x:v>|P1|F2|F3|P2|F1|</x:v>
      </x:c>
      <x:c r="G154" s="21" t="str">
        <x:v>如图所示，用离心泵将池中 20℃的水向个高位槽供水。已知li=8m，l=2m, di=d2=50mm，l3=l3²=20m（以上长度均包括局部阻力），d3=d3'=25mm，管路阻力系 数入1=入2=3=0.028，泵的特性曲线可近似表示为H=80-1.1×10°Q²（式中Q以m3/s表 示)。试求： (1) 若 13'关闭，则泵的流量为多少？ (2) 若两支管同时，”则泵的流量为多少？ （3）泵的安装高度为多少？（己知此离心泵的排量为20m²/h时，Hg=5.6m，排量为 10m²/h 时 Hg=7.3m。) （4），两支管同时打开后，泵的入口真空表及出口压强表的读数如何变化？ 10m</x:v>
      </x:c>
      <x:c r="H154" s="15" t="str">
        <x:v>A</x:v>
      </x:c>
      <x:c r="I154" s="15" t="str">
        <x:v>34、35</x:v>
      </x:c>
      <x:c r="J154" s="15" t="str">
        <x:v>汇编题卷（未核实官方原卷）</x:v>
      </x:c>
      <x:c r="K154" s="22" t="str">
        <x:v>扫描题干摘录，公式与数值做题前核对原PDF。</x:v>
      </x:c>
    </x:row>
    <x:row r="155" ht="66" customHeight="1">
      <x:c r="A155" s="18" t="n">
        <x:v>2006</x:v>
      </x:c>
      <x:c r="B155" s="19" t="str">
        <x:v>2006年 三、计算</x:v>
      </x:c>
      <x:c r="C155" s="19" t="str">
        <x:v>计算</x:v>
      </x:c>
      <x:c r="D155" s="20" t="n">
        <x:v>12</x:v>
      </x:c>
      <x:c r="E155" s="15" t="str">
        <x:v>洗涤、板框 / 转筒与生产能力</x:v>
      </x:c>
      <x:c r="F155" s="15" t="str">
        <x:v>|S4|S3|</x:v>
      </x:c>
      <x:c r="G155" s="21" t="str">
        <x:v>拟用板框过滤机恒压过滤某悬浮液，要求每小时处理的悬浮液量至少为20m”, 滤饼不洗涤。已知滤饼体积/滤液体积=0.026m2/m3，卸渣、重整等辅助时间为30min。 相同条件下在小板框过滤机上进行试验，得到如承数新 过滤时间（min) 单位面积上的滤液量(m2/m²) 20 0.34 40 0.5 （1） 试从以下规格的板框过滤机中选出合适的型号。 (2) 所选设备的最大生薇能力为多大？ (3) 板框完全充满时生产能力为多大？ 型易 滤面积 板框尺寸 框数 (m²) （个） 46.0 635mm×635mm×25mm 67 B 47.2 810mm×810mm×30mm 36</x:v>
      </x:c>
      <x:c r="H155" s="15" t="str">
        <x:v>A</x:v>
      </x:c>
      <x:c r="I155" s="15" t="str">
        <x:v>35</x:v>
      </x:c>
      <x:c r="J155" s="15" t="str">
        <x:v>汇编题卷（未核实官方原卷）</x:v>
      </x:c>
      <x:c r="K155" s="22" t="str">
        <x:v>扫描题干摘录，公式与数值做题前核对原PDF。</x:v>
      </x:c>
    </x:row>
    <x:row r="156" ht="66" customHeight="1">
      <x:c r="A156" s="18" t="n">
        <x:v>2006</x:v>
      </x:c>
      <x:c r="B156" s="19" t="str">
        <x:v>2006年 四、计算</x:v>
      </x:c>
      <x:c r="C156" s="19" t="str">
        <x:v>计算</x:v>
      </x:c>
      <x:c r="D156" s="20" t="n">
        <x:v>21</x:v>
      </x:c>
      <x:c r="E156" s="15" t="str">
        <x:v>换热器设计、校核与操作计算</x:v>
      </x:c>
      <x:c r="F156" s="15" t="str">
        <x:v>|H4|H2|H3|F3|</x:v>
      </x:c>
      <x:c r="G156" s="21" t="str">
        <x:v>某厂在由177根Φ25×2mm、长3m的钢管构成的单壳程单管程列管换热器内， 用132.9℃的饱和水蒸汽在管间冷凝。将管内作湍流流动的常压乙烯气体加热。已知 乙烯气体流量为0.6kg/s，进口温度为20℃，在操作条件下的密度为1kg/m²，比热为 1.84kJ/（kg:℃），对流传热系数为53W/（m2.℃），饱和水蒸汽冷凝传热膜系数为 8000W/（m2.C），可忽略管壁及污垢热阻。 （1） 确定乙烯气体出换热器时的温度； （2）若乙烯气体通过换热器的压降要求不超过0.01kgf/cm²，通过换热器的总长度 （包括局部阻力当量长度）为5.5m，摩擦系数入=0.04，试确定该换热器最多允许通 过多少 kg/s 的乙烯气体? （3）当</x:v>
      </x:c>
      <x:c r="H156" s="15" t="str">
        <x:v>A</x:v>
      </x:c>
      <x:c r="I156" s="15" t="str">
        <x:v>35、36</x:v>
      </x:c>
      <x:c r="J156" s="15" t="str">
        <x:v>汇编题卷（未核实官方原卷）</x:v>
      </x:c>
      <x:c r="K156" s="22" t="str">
        <x:v>扫描题干摘录，公式与数值做题前核对原PDF。</x:v>
      </x:c>
    </x:row>
    <x:row r="157" ht="66" customHeight="1">
      <x:c r="A157" s="18" t="n">
        <x:v>2006</x:v>
      </x:c>
      <x:c r="B157" s="19" t="str">
        <x:v>2006年 五、计算</x:v>
      </x:c>
      <x:c r="C157" s="19" t="str">
        <x:v>计算</x:v>
      </x:c>
      <x:c r="D157" s="20" t="n">
        <x:v>27</x:v>
      </x:c>
      <x:c r="E157" s="15" t="str">
        <x:v>传质单元、填料高度与理论级</x:v>
      </x:c>
      <x:c r="F157" s="15" t="str">
        <x:v>|A4|A3|A5|</x:v>
      </x:c>
      <x:c r="G157" s="21" t="str">
        <x:v>在一个截面积为Q的Mellepak250Y型规格填释 收塔中，用清水吸收空气混 合气中的气体A。已知吸收塔的操作总压为l01kPa，温度为20℃，入塔混合气的 摩尔流量为V，入塔气中A的浓度为O（摩尔分率，下同)，经过吸收后的气体出 塔组成为0.05，清水用量是最小液气比的1.5倍，吸收过程为气膜控制，Kyaαv.7 (V为气相摩尔流率)。已知在常压下 20℃时该体系的气液相平衡关系为 yb=1.5x, 试求： L/2 xa L/2 xa y'↑ Ty' y=mx Ya V/2 yb Xb' V/2 Y. Xa xb x （1） 逆流操作时，完成分离任务所需的气相总传质单元数NoG为多少； （2）为了降低塔内的气、液相负荷，将该塔与</x:v>
      </x:c>
      <x:c r="H157" s="15" t="str">
        <x:v>A</x:v>
      </x:c>
      <x:c r="I157" s="15" t="str">
        <x:v>36、37</x:v>
      </x:c>
      <x:c r="J157" s="15" t="str">
        <x:v>汇编题卷（未核实官方原卷）</x:v>
      </x:c>
      <x:c r="K157" s="22" t="str">
        <x:v>扫描题干摘录，公式与数值做题前核对原PDF。</x:v>
      </x:c>
    </x:row>
    <x:row r="158" ht="66" customHeight="1">
      <x:c r="A158" s="18" t="n">
        <x:v>2006</x:v>
      </x:c>
      <x:c r="B158" s="19" t="str">
        <x:v>2006年 六、计算</x:v>
      </x:c>
      <x:c r="C158" s="19" t="str">
        <x:v>计算</x:v>
      </x:c>
      <x:c r="D158" s="20" t="n">
        <x:v>28</x:v>
      </x:c>
      <x:c r="E158" s="15" t="str">
        <x:v>精馏衡算、操作线与进料热状态</x:v>
      </x:c>
      <x:c r="F158" s="15" t="str">
        <x:v>|D2|D4|</x:v>
      </x:c>
      <x:c r="G158" s="21" t="str">
        <x:v>某双组分理想混合液，重组分为水，设计时先按如下流程安排（图中实线)。塔 釜采用饱和蒸气直接加热：塔顶采用全凝器，泡点回流。系统符合恒摩尔流假定，相 对挥发度为2。且知道：F=100kmol/h，q=0，xF=0.4（摩尔分率，下同），xD=0.95， xw=0.04，S=60 kmol/h。 Wr W wxw S 试求： （1） 塔顶轻组分的回收率； （2） 试用物料衡算的方法推导精馏段的操作线方程；若R=5，写出该操作线方程； （3）著保持S、F、xF、q、xD、xw不变，设计时在塔上部有侧线抽出（如虚线所 示)，描出液量为Mkmol/h，组成xM=0.6，则该塔的最小回流比为多少?</x:v>
      </x:c>
      <x:c r="H158" s="15" t="str">
        <x:v>A</x:v>
      </x:c>
      <x:c r="I158" s="15" t="str">
        <x:v>37</x:v>
      </x:c>
      <x:c r="J158" s="15" t="str">
        <x:v>汇编题卷（未核实官方原卷）</x:v>
      </x:c>
      <x:c r="K158" s="22" t="str">
        <x:v>扫描题干摘录，公式与数值做题前核对原PDF。</x:v>
      </x:c>
    </x:row>
    <x:row r="159" ht="66" customHeight="1">
      <x:c r="A159" s="18" t="n">
        <x:v>2007</x:v>
      </x:c>
      <x:c r="B159" s="19" t="str">
        <x:v>2007年 一、填空第1题</x:v>
      </x:c>
      <x:c r="C159" s="19" t="str">
        <x:v>填空</x:v>
      </x:c>
      <x:c r="D159" s="20"/>
      <x:c r="E159" s="15" t="str">
        <x:v>静力学、压力与U形压差计</x:v>
      </x:c>
      <x:c r="F159" s="15" t="str">
        <x:v>|F1|</x:v>
      </x:c>
      <x:c r="G159" s="21" t="str">
        <x:v>混合式冷凝器处于负压下操作，真空表指 700mmHg。当地大气压强为 760mmHg。为使冷凝器内的水能连续排入与 氧相通的水池，冷凝器下部的排水管 （又称大气腿）高度最少应为</x:v>
      </x:c>
      <x:c r="H159" s="15" t="str">
        <x:v>A</x:v>
      </x:c>
      <x:c r="I159" s="15" t="str">
        <x:v>38</x:v>
      </x:c>
      <x:c r="J159" s="15" t="str">
        <x:v>汇编题卷（未核实官方原卷）</x:v>
      </x:c>
      <x:c r="K159" s="22" t="str">
        <x:v>扫描题干摘录，公式与数值做题前核对原PDF。</x:v>
      </x:c>
    </x:row>
    <x:row r="160" ht="66" customHeight="1">
      <x:c r="A160" s="18" t="n">
        <x:v>2007</x:v>
      </x:c>
      <x:c r="B160" s="19" t="str">
        <x:v>2007年 一、填空第2题</x:v>
      </x:c>
      <x:c r="C160" s="19" t="str">
        <x:v>填空</x:v>
      </x:c>
      <x:c r="D160" s="20"/>
      <x:c r="E160" s="15" t="str">
        <x:v>黏性、Re、流型与管路阻力</x:v>
      </x:c>
      <x:c r="F160" s="15" t="str">
        <x:v>|F3|</x:v>
      </x:c>
      <x:c r="G160" s="21" t="str">
        <x:v>空气在内径一定的圆管中稳定流动，若气体质量一定，当气体温度升高时，雷诺 准数Re将</x:v>
      </x:c>
      <x:c r="H160" s="15" t="str">
        <x:v>A</x:v>
      </x:c>
      <x:c r="I160" s="15" t="str">
        <x:v>38</x:v>
      </x:c>
      <x:c r="J160" s="15" t="str">
        <x:v>汇编题卷（未核实官方原卷）</x:v>
      </x:c>
      <x:c r="K160" s="22" t="str">
        <x:v>扫描题干摘录，公式与数值做题前核对原PDF。</x:v>
      </x:c>
    </x:row>
    <x:row r="161" ht="66" customHeight="1">
      <x:c r="A161" s="18" t="n">
        <x:v>2007</x:v>
      </x:c>
      <x:c r="B161" s="19" t="str">
        <x:v>2007年 一、填空第3题</x:v>
      </x:c>
      <x:c r="C161" s="19" t="str">
        <x:v>填空</x:v>
      </x:c>
      <x:c r="D161" s="20"/>
      <x:c r="E161" s="15" t="str">
        <x:v>黏性、Re、流型与管路阻力</x:v>
      </x:c>
      <x:c r="F161" s="15" t="str">
        <x:v>|F3|</x:v>
      </x:c>
      <x:c r="G161" s="21" t="str">
        <x:v>在下面两种情况下，假如流体的流量、管长及相对粗糙度不变，而圆形直管的直 径减小为原来的二分之》，则因直管阻力引起的压降损失为原来的多少倍? A．直径改变前后流动均为层流： B。直径改变前后流动均为完全湍流：</x:v>
      </x:c>
      <x:c r="H161" s="15" t="str">
        <x:v>A</x:v>
      </x:c>
      <x:c r="I161" s="15" t="str">
        <x:v>38</x:v>
      </x:c>
      <x:c r="J161" s="15" t="str">
        <x:v>汇编题卷（未核实官方原卷）</x:v>
      </x:c>
      <x:c r="K161" s="22" t="str">
        <x:v>扫描题干摘录，公式与数值做题前核对原PDF。</x:v>
      </x:c>
    </x:row>
    <x:row r="162" ht="66" customHeight="1">
      <x:c r="A162" s="18" t="n">
        <x:v>2007</x:v>
      </x:c>
      <x:c r="B162" s="19" t="str">
        <x:v>2007年 一、填空第4题</x:v>
      </x:c>
      <x:c r="C162" s="19" t="str">
        <x:v>填空</x:v>
      </x:c>
      <x:c r="D162" s="20"/>
      <x:c r="E162" s="15" t="str">
        <x:v>测速管、孔板与转子流量计</x:v>
      </x:c>
      <x:c r="F162" s="15" t="str">
        <x:v>|F5|</x:v>
      </x:c>
      <x:c r="G162" s="21" t="str">
        <x:v>当流体在管内流动时，如要测取管截面上流体的速度分布，可选用 测量。</x:v>
      </x:c>
      <x:c r="H162" s="15" t="str">
        <x:v>A</x:v>
      </x:c>
      <x:c r="I162" s="15" t="str">
        <x:v>38</x:v>
      </x:c>
      <x:c r="J162" s="15" t="str">
        <x:v>汇编题卷（未核实官方原卷）</x:v>
      </x:c>
      <x:c r="K162" s="22" t="str">
        <x:v>扫描题干摘录，公式与数值做题前核对原PDF。</x:v>
      </x:c>
    </x:row>
    <x:row r="163" ht="66" customHeight="1">
      <x:c r="A163" s="18" t="n">
        <x:v>2007</x:v>
      </x:c>
      <x:c r="B163" s="19" t="str">
        <x:v>2007年 一、填空第5题</x:v>
      </x:c>
      <x:c r="C163" s="19" t="str">
        <x:v>填空</x:v>
      </x:c>
      <x:c r="D163" s="20"/>
      <x:c r="E163" s="15" t="str">
        <x:v>泵特性、工作点、调节与功率</x:v>
      </x:c>
      <x:c r="F163" s="15" t="str">
        <x:v>|P1|</x:v>
      </x:c>
      <x:c r="G163" s="21" t="str">
        <x:v>离心泵中， 是将原动机的能量传递给液体的部件，而 则是将动能转变 为压力能的部件。</x:v>
      </x:c>
      <x:c r="H163" s="15" t="str">
        <x:v>A</x:v>
      </x:c>
      <x:c r="I163" s="15" t="str">
        <x:v>38</x:v>
      </x:c>
      <x:c r="J163" s="15" t="str">
        <x:v>汇编题卷（未核实官方原卷）</x:v>
      </x:c>
      <x:c r="K163" s="22" t="str">
        <x:v>扫描题干摘录，公式与数值做题前核对原PDF。</x:v>
      </x:c>
    </x:row>
    <x:row r="164" ht="66" customHeight="1">
      <x:c r="A164" s="18" t="n">
        <x:v>2007</x:v>
      </x:c>
      <x:c r="B164" s="19" t="str">
        <x:v>2007年 一、填空第6题</x:v>
      </x:c>
      <x:c r="C164" s="19" t="str">
        <x:v>填空</x:v>
      </x:c>
      <x:c r="D164" s="20"/>
      <x:c r="E164" s="15" t="str">
        <x:v>床层压降、流化状态与异常</x:v>
      </x:c>
      <x:c r="F164" s="15" t="str">
        <x:v>|B1|</x:v>
      </x:c>
      <x:c r="G164" s="21" t="str">
        <x:v>流体通过颗粒床层时，随流速从小到大可能出现的三种状况是</x:v>
      </x:c>
      <x:c r="H164" s="15" t="str">
        <x:v>A</x:v>
      </x:c>
      <x:c r="I164" s="15" t="str">
        <x:v>38</x:v>
      </x:c>
      <x:c r="J164" s="15" t="str">
        <x:v>汇编题卷（未核实官方原卷）</x:v>
      </x:c>
      <x:c r="K164" s="22" t="str">
        <x:v>扫描题干摘录，公式与数值做题前核对原PDF。</x:v>
      </x:c>
    </x:row>
    <x:row r="165" ht="66" customHeight="1">
      <x:c r="A165" s="18" t="n">
        <x:v>2007</x:v>
      </x:c>
      <x:c r="B165" s="19" t="str">
        <x:v>2007年 一、填空第7题</x:v>
      </x:c>
      <x:c r="C165" s="19" t="str">
        <x:v>填空</x:v>
      </x:c>
      <x:c r="D165" s="20"/>
      <x:c r="E165" s="15" t="str">
        <x:v>旋风分离器与离心分离</x:v>
      </x:c>
      <x:c r="F165" s="15" t="str">
        <x:v>|S2|</x:v>
      </x:c>
      <x:c r="G165" s="21" t="str">
        <x:v>黄铁矿燃烧炉出口的炉气，流量为20000m²/h，用旋风分离器进行分离，除尘效 率为95%，由于减产的原因，炉气流量减为15000m2/h，但炉气含尘情况不变，此时 分离器的除尘效率 (提高、降低、不变)，其原因是</x:v>
      </x:c>
      <x:c r="H165" s="15" t="str">
        <x:v>A</x:v>
      </x:c>
      <x:c r="I165" s="15" t="str">
        <x:v>38</x:v>
      </x:c>
      <x:c r="J165" s="15" t="str">
        <x:v>汇编题卷（未核实官方原卷）</x:v>
      </x:c>
      <x:c r="K165" s="22" t="str">
        <x:v>扫描题干摘录，公式与数值做题前核对原PDF。</x:v>
      </x:c>
    </x:row>
    <x:row r="166" ht="66" customHeight="1">
      <x:c r="A166" s="18" t="n">
        <x:v>2007</x:v>
      </x:c>
      <x:c r="B166" s="19" t="str">
        <x:v>2007年 一、填空第8题</x:v>
      </x:c>
      <x:c r="C166" s="19" t="str">
        <x:v>填空</x:v>
      </x:c>
      <x:c r="D166" s="20"/>
      <x:c r="E166" s="15" t="str">
        <x:v>过滤方程与过滤常数</x:v>
      </x:c>
      <x:c r="F166" s="15" t="str">
        <x:v>|S3|</x:v>
      </x:c>
      <x:c r="G166" s="21" t="str">
        <x:v>当介质阻力忽略不计时，恒压过滤方程描述的是 与 之间关系的方程， 它的图形是一条通过原点的 线。</x:v>
      </x:c>
      <x:c r="H166" s="15" t="str">
        <x:v>A</x:v>
      </x:c>
      <x:c r="I166" s="15" t="str">
        <x:v>39</x:v>
      </x:c>
      <x:c r="J166" s="15" t="str">
        <x:v>汇编题卷（未核实官方原卷）</x:v>
      </x:c>
      <x:c r="K166" s="22" t="str">
        <x:v>扫描题干摘录，公式与数值做题前核对原PDF。</x:v>
      </x:c>
    </x:row>
    <x:row r="167" ht="66" customHeight="1">
      <x:c r="A167" s="18" t="n">
        <x:v>2007</x:v>
      </x:c>
      <x:c r="B167" s="19" t="str">
        <x:v>2007年 一、填空第9题</x:v>
      </x:c>
      <x:c r="C167" s="19" t="str">
        <x:v>填空</x:v>
      </x:c>
      <x:c r="D167" s="20"/>
      <x:c r="E167" s="15" t="str">
        <x:v>热辐射</x:v>
      </x:c>
      <x:c r="F167" s="15" t="str">
        <x:v>|O1|</x:v>
      </x:c>
      <x:c r="G167" s="21" t="str">
        <x:v>*627℃时钢的黑度为0.87，则此温度下对热辐射的反射率为 ：吸收率为 透过率为 ：辐射能力为</x:v>
      </x:c>
      <x:c r="H167" s="15" t="str">
        <x:v>A</x:v>
      </x:c>
      <x:c r="I167" s="15" t="str">
        <x:v>39</x:v>
      </x:c>
      <x:c r="J167" s="15" t="str">
        <x:v>汇编题卷（未核实官方原卷）</x:v>
      </x:c>
      <x:c r="K167" s="22" t="str">
        <x:v>扫描题干摘录，公式与数值做题前核对原PDF。</x:v>
      </x:c>
    </x:row>
    <x:row r="168" ht="66" customHeight="1">
      <x:c r="A168" s="18" t="n">
        <x:v>2007</x:v>
      </x:c>
      <x:c r="B168" s="19" t="str">
        <x:v>2007年 一、填空第10题</x:v>
      </x:c>
      <x:c r="C168" s="19" t="str">
        <x:v>填空</x:v>
      </x:c>
      <x:c r="D168" s="20"/>
      <x:c r="E168" s="15" t="str">
        <x:v>总传热系数、热阻与壁温</x:v>
      </x:c>
      <x:c r="F168" s="15" t="str">
        <x:v>|H3|</x:v>
      </x:c>
      <x:c r="G168" s="21" t="str">
        <x:v>在列管换热器中，拟用饱和蒸汽加热空气，则总传热系数K接近 的对流传 热系数。</x:v>
      </x:c>
      <x:c r="H168" s="15" t="str">
        <x:v>A</x:v>
      </x:c>
      <x:c r="I168" s="15" t="str">
        <x:v>39</x:v>
      </x:c>
      <x:c r="J168" s="15" t="str">
        <x:v>汇编题卷（未核实官方原卷）</x:v>
      </x:c>
      <x:c r="K168" s="22" t="str">
        <x:v>扫描题干摘录，公式与数值做题前核对原PDF。</x:v>
      </x:c>
    </x:row>
    <x:row r="169" ht="66" customHeight="1">
      <x:c r="A169" s="18" t="n">
        <x:v>2007</x:v>
      </x:c>
      <x:c r="B169" s="19" t="str">
        <x:v>2007年 一、填空第11题</x:v>
      </x:c>
      <x:c r="C169" s="19" t="str">
        <x:v>填空</x:v>
      </x:c>
      <x:c r="D169" s="20"/>
      <x:c r="E169" s="15" t="str">
        <x:v>亨利定律、平衡与传质方向</x:v>
      </x:c>
      <x:c r="F169" s="15" t="str">
        <x:v>|A1|</x:v>
      </x:c>
      <x:c r="G169" s="21" t="str">
        <x:v>在密闭容器内存放某种低浓度水溶液，容器内的压力为Po，溶液温度为，溶质 含量为c（x），试问： （1） 若将N2注入容器中，则体系的相平衡常数m （2）若将少量溶质A注入容器中，则体系的相平衡常数m (增大，减少，不变，不确定)</x:v>
      </x:c>
      <x:c r="H169" s="15" t="str">
        <x:v>A</x:v>
      </x:c>
      <x:c r="I169" s="15" t="str">
        <x:v>39</x:v>
      </x:c>
      <x:c r="J169" s="15" t="str">
        <x:v>汇编题卷（未核实官方原卷）</x:v>
      </x:c>
      <x:c r="K169" s="22" t="str">
        <x:v>扫描题干摘录，公式与数值做题前核对原PDF。</x:v>
      </x:c>
    </x:row>
    <x:row r="170" ht="66" customHeight="1">
      <x:c r="A170" s="18" t="n">
        <x:v>2007</x:v>
      </x:c>
      <x:c r="B170" s="19" t="str">
        <x:v>2007年 一、填空第12题</x:v>
      </x:c>
      <x:c r="C170" s="19" t="str">
        <x:v>填空</x:v>
      </x:c>
      <x:c r="D170" s="20"/>
      <x:c r="E170" s="15" t="str">
        <x:v>吸收 / 解吸的操作变化与强化</x:v>
      </x:c>
      <x:c r="F170" s="15" t="str">
        <x:v>|A5|A2|</x:v>
      </x:c>
      <x:c r="G170" s="21" t="str">
        <x:v>对气膜控制的吸收过程，气体流量和液体 量哪一个对吸收率的影响较大？ A.气体流量 B．液体流量 C.汽、液两相流量影响都很 D．汽、液两相流量影响都不大</x:v>
      </x:c>
      <x:c r="H170" s="15" t="str">
        <x:v>A</x:v>
      </x:c>
      <x:c r="I170" s="15" t="str">
        <x:v>39</x:v>
      </x:c>
      <x:c r="J170" s="15" t="str">
        <x:v>汇编题卷（未核实官方原卷）</x:v>
      </x:c>
      <x:c r="K170" s="22" t="str">
        <x:v>扫描题干摘录，公式与数值做题前核对原PDF。</x:v>
      </x:c>
    </x:row>
    <x:row r="171" ht="66" customHeight="1">
      <x:c r="A171" s="18" t="n">
        <x:v>2007</x:v>
      </x:c>
      <x:c r="B171" s="19" t="str">
        <x:v>2007年 一、填空第13题</x:v>
      </x:c>
      <x:c r="C171" s="19" t="str">
        <x:v>填空</x:v>
      </x:c>
      <x:c r="D171" s="20"/>
      <x:c r="E171" s="15" t="str">
        <x:v>吸收 / 解吸的操作变化与强化</x:v>
      </x:c>
      <x:c r="F171" s="15" t="str">
        <x:v>|A5|A3|</x:v>
      </x:c>
      <x:c r="G171" s="21" t="str">
        <x:v>某操作中的低浓度气体吸收塔，用纯溶剂逆流吸收气体物中的A组分，若混合 气入塔组成y下降。纯溶剂量、惰性气量V、压力P、温度T等条件不变，溶解度 曲线可表示为过原点的直线，则回收率 ；如果希望低出塔液体的组成xb，保持 汽、液相入白组成、回收率和其余操作条件不变，则溶剂量L需 。（增大、减 小、不变、不确定)</x:v>
      </x:c>
      <x:c r="H171" s="15" t="str">
        <x:v>A</x:v>
      </x:c>
      <x:c r="I171" s="15" t="str">
        <x:v>39</x:v>
      </x:c>
      <x:c r="J171" s="15" t="str">
        <x:v>汇编题卷（未核实官方原卷）</x:v>
      </x:c>
      <x:c r="K171" s="22" t="str">
        <x:v>扫描题干摘录，公式与数值做题前核对原PDF。</x:v>
      </x:c>
    </x:row>
    <x:row r="172" ht="66" customHeight="1">
      <x:c r="A172" s="18" t="n">
        <x:v>2007</x:v>
      </x:c>
      <x:c r="B172" s="19" t="str">
        <x:v>2007年 一、填空第14题</x:v>
      </x:c>
      <x:c r="C172" s="19" t="str">
        <x:v>填空</x:v>
      </x:c>
      <x:c r="D172" s="20"/>
      <x:c r="E172" s="15" t="str">
        <x:v>相平衡、相对挥发度与闪蒸</x:v>
      </x:c>
      <x:c r="F172" s="15" t="str">
        <x:v>|D1|</x:v>
      </x:c>
      <x:c r="G172" s="21" t="str">
        <x:v>在理想溶液的t-x-y 相图上有两条曲线（如右图)，下面一条为 线，上面 条为 线；精馏过程应处于 区（I、ⅡI、IⅢ)；如果某过程的作点P位于I 区，当操作压力降低后，发生闪蒸过程，则相平衡曲线怎样变化 _，此时作点 处于__区，说明混合物处于 相态。 t I1 xy--</x:v>
      </x:c>
      <x:c r="H172" s="15" t="str">
        <x:v>A</x:v>
      </x:c>
      <x:c r="I172" s="15" t="str">
        <x:v>39、40</x:v>
      </x:c>
      <x:c r="J172" s="15" t="str">
        <x:v>汇编题卷（未核实官方原卷）</x:v>
      </x:c>
      <x:c r="K172" s="22" t="str">
        <x:v>扫描题干摘录，公式与数值做题前核对原PDF。</x:v>
      </x:c>
    </x:row>
    <x:row r="173" ht="66" customHeight="1">
      <x:c r="A173" s="18" t="n">
        <x:v>2007</x:v>
      </x:c>
      <x:c r="B173" s="19" t="str">
        <x:v>2007年 一、填空第15题</x:v>
      </x:c>
      <x:c r="C173" s="19" t="str">
        <x:v>填空</x:v>
      </x:c>
      <x:c r="D173" s="20"/>
      <x:c r="E173" s="15" t="str">
        <x:v>回流比、极限条件与操作分析</x:v>
      </x:c>
      <x:c r="F173" s="15" t="str">
        <x:v>|D4|D2|</x:v>
      </x:c>
      <x:c r="G173" s="21" t="str">
        <x:v>一精馏塔在某工况下操作，如果维持其它条件不变而增大回流比R，则提馏段的 液气比L'/V' ，塔釜产品组成xw 。（增加、减少、不变、不确定）</x:v>
      </x:c>
      <x:c r="H173" s="15" t="str">
        <x:v>A</x:v>
      </x:c>
      <x:c r="I173" s="15" t="str">
        <x:v>40</x:v>
      </x:c>
      <x:c r="J173" s="15" t="str">
        <x:v>汇编题卷（未核实官方原卷）</x:v>
      </x:c>
      <x:c r="K173" s="22" t="str">
        <x:v>扫描题干摘录，公式与数值做题前核对原PDF。</x:v>
      </x:c>
    </x:row>
    <x:row r="174" ht="66" customHeight="1">
      <x:c r="A174" s="18" t="n">
        <x:v>2007</x:v>
      </x:c>
      <x:c r="B174" s="19" t="str">
        <x:v>2007年 一、填空第16题</x:v>
      </x:c>
      <x:c r="C174" s="19" t="str">
        <x:v>填空</x:v>
      </x:c>
      <x:c r="D174" s="20"/>
      <x:c r="E174" s="15" t="str">
        <x:v>逐板计算、理论板与板效率</x:v>
      </x:c>
      <x:c r="F174" s="15" t="str">
        <x:v>|D3|D1|</x:v>
      </x:c>
      <x:c r="G174" s="21" t="str">
        <x:v>下面图示给出了三种精馏塔操作示意图，塔顶第一块板上升的汽相组成 yi 及汽 相量√均相同，试判断下面哪个结论是正确的? A. XD2&gt;XD3&gt;XD1 B.XD3&gt;XD2&gt;XD1 C. XL2&gt;XL3&gt;XL1 D. XL1&gt;XL2 全凝器 分凝器 分凝器 XLI XL2 XL3 xpI XD2 XD3 (1) (2) (3)</x:v>
      </x:c>
      <x:c r="H174" s="15" t="str">
        <x:v>A</x:v>
      </x:c>
      <x:c r="I174" s="15" t="str">
        <x:v>40</x:v>
      </x:c>
      <x:c r="J174" s="15" t="str">
        <x:v>汇编题卷（未核实官方原卷）</x:v>
      </x:c>
      <x:c r="K174" s="22" t="str">
        <x:v>扫描题干摘录，公式与数值做题前核对原PDF。</x:v>
      </x:c>
    </x:row>
    <x:row r="175" ht="66" customHeight="1">
      <x:c r="A175" s="18" t="n">
        <x:v>2007</x:v>
      </x:c>
      <x:c r="B175" s="19" t="str">
        <x:v>2007年 一、填空第17题</x:v>
      </x:c>
      <x:c r="C175" s="19" t="str">
        <x:v>填空</x:v>
      </x:c>
      <x:c r="D175" s="20"/>
      <x:c r="E175" s="15" t="str">
        <x:v>选择性、分配系数与单级萃取</x:v>
      </x:c>
      <x:c r="F175" s="15" t="str">
        <x:v>|X1|</x:v>
      </x:c>
      <x:c r="G175" s="21" t="str">
        <x:v>某液体混合物含溶质A为40%，含稀释剂60%，用循环萃取剂进行单级萃取； 该萃取剂含纯溶剂≤为0%、溶质 A 为 5%、稀释剂B为 5%（均为质量分率)。物 系的溶解度曲线及平衡连接线的内插辅助线如附图所示。试求：在可能操作的最大溶 剂比下，相应的溶质萃余率是 ，所得到的萃取液（脱溶剂）组成是 _，萃余 液组成是</x:v>
      </x:c>
      <x:c r="H175" s="15" t="str">
        <x:v>A</x:v>
      </x:c>
      <x:c r="I175" s="15" t="str">
        <x:v>40</x:v>
      </x:c>
      <x:c r="J175" s="15" t="str">
        <x:v>汇编题卷（未核实官方原卷）</x:v>
      </x:c>
      <x:c r="K175" s="22" t="str">
        <x:v>扫描题干摘录，公式与数值做题前核对原PDF。</x:v>
      </x:c>
    </x:row>
    <x:row r="176" ht="66" customHeight="1">
      <x:c r="A176" s="18" t="n">
        <x:v>2007</x:v>
      </x:c>
      <x:c r="B176" s="19" t="str">
        <x:v>2007年 一、填空第18题</x:v>
      </x:c>
      <x:c r="C176" s="19" t="str">
        <x:v>填空</x:v>
      </x:c>
      <x:c r="D176" s="20"/>
      <x:c r="E176" s="15" t="str">
        <x:v>板式 / 填料塔、液泛与负荷图</x:v>
      </x:c>
      <x:c r="F176" s="15" t="str">
        <x:v>|T1|</x:v>
      </x:c>
      <x:c r="G176" s="21" t="str">
        <x:v>在板式塔设备中，降液管虽然不具有传质作用，但它的设计非常重要，如果降液 管面积设计过大，对塔设备的性能会造成什么影响 _，或者设计过小会造成什么 影响 ，为什么设计降液管时，液体在降液管内的停留时间要超过3~5s 0.9 0.8 0.7 0.6 F0.4 0.3 D2 30.1 0.200.4050.60.7 080.91.0</x:v>
      </x:c>
      <x:c r="H176" s="15" t="str">
        <x:v>A</x:v>
      </x:c>
      <x:c r="I176" s="15" t="str">
        <x:v>40、41</x:v>
      </x:c>
      <x:c r="J176" s="15" t="str">
        <x:v>汇编题卷（未核实官方原卷）</x:v>
      </x:c>
      <x:c r="K176" s="22" t="str">
        <x:v>扫描题干摘录，公式与数值做题前核对原PDF。</x:v>
      </x:c>
    </x:row>
    <x:row r="177" ht="66" customHeight="1">
      <x:c r="A177" s="18" t="n">
        <x:v>2007</x:v>
      </x:c>
      <x:c r="B177" s="19" t="str">
        <x:v>2007年 二、计算</x:v>
      </x:c>
      <x:c r="C177" s="19" t="str">
        <x:v>计算</x:v>
      </x:c>
      <x:c r="D177" s="20" t="n">
        <x:v>22</x:v>
      </x:c>
      <x:c r="E177" s="15" t="str">
        <x:v>泵特性、工作点、调节与功率</x:v>
      </x:c>
      <x:c r="F177" s="15" t="str">
        <x:v>|P1|F2|</x:v>
      </x:c>
      <x:c r="G177" s="21" t="str">
        <x:v>有一管路系统，将70m2/h的水由散口低槽输送到位置较高的压力容器中，容 器的压为1.2kgf/cm²（表压），求得所需的扬程为36.5m。如将此系统改为输送密度为 1200kg/m²的液体（其余特性与水稻向》流量仍为70m²/h。现有一泵，为某标准泵 将叶轮直径车削5%而成。已知军削之前当转速n=1450r/min并输送水时，泵的性能 曲线（H~Q）有关线段可近似驾为 H=40-7.2*10 H—m Q—m2/h （1） 改输1200kg/的液体后所需的扬程为多少？ （2） 如柔用此泵，泵的转速至少为多少？ （3）如在上一问所求转速下泵的工作点效率为80%，其轴功率为多少？</x:v>
      </x:c>
      <x:c r="H177" s="15" t="str">
        <x:v>A</x:v>
      </x:c>
      <x:c r="I177" s="15" t="str">
        <x:v>41</x:v>
      </x:c>
      <x:c r="J177" s="15" t="str">
        <x:v>汇编题卷（未核实官方原卷）</x:v>
      </x:c>
      <x:c r="K177" s="22" t="str">
        <x:v>扫描题干摘录，公式与数值做题前核对原PDF。</x:v>
      </x:c>
    </x:row>
    <x:row r="178" ht="66" customHeight="1">
      <x:c r="A178" s="18" t="n">
        <x:v>2007</x:v>
      </x:c>
      <x:c r="B178" s="19" t="str">
        <x:v>2007年 三、计算</x:v>
      </x:c>
      <x:c r="C178" s="19" t="str">
        <x:v>计算</x:v>
      </x:c>
      <x:c r="D178" s="20" t="n">
        <x:v>13</x:v>
      </x:c>
      <x:c r="E178" s="15" t="str">
        <x:v>洗涤、板框 / 转筒与生产能力</x:v>
      </x:c>
      <x:c r="F178" s="15" t="str">
        <x:v>|S4|S3|</x:v>
      </x:c>
      <x:c r="G178" s="21" t="str">
        <x:v>实验，测得qe=0.01m²/m²，K=1.579x104m2/s。悬浮液质量为1000，其中固相质量分 率为0.07，固相密度为2000kg/m²，滤饼不可压缩，其含水量为30%（质量）。今选 用一台直径1.5m、长10m的转筒真空过滤机处理此种料浆，所用滤布与实验时相同。 转筒漫没角为120°，转速为0.5r/min，操作真空度为8.0x104Pa，试求 （1） 该过滤机的生产能力（以每小时所获滤液体积计，m/h) （2） 滤饼的厚度。</x:v>
      </x:c>
      <x:c r="H178" s="15" t="str">
        <x:v>A</x:v>
      </x:c>
      <x:c r="I178" s="15" t="str">
        <x:v>41、42</x:v>
      </x:c>
      <x:c r="J178" s="15" t="str">
        <x:v>汇编题卷（未核实官方原卷）</x:v>
      </x:c>
      <x:c r="K178" s="22" t="str">
        <x:v>扫描题干摘录，公式与数值做题前核对原PDF。</x:v>
      </x:c>
    </x:row>
    <x:row r="179" ht="66" customHeight="1">
      <x:c r="A179" s="18" t="n">
        <x:v>2007</x:v>
      </x:c>
      <x:c r="B179" s="19" t="str">
        <x:v>2007年 四、计算</x:v>
      </x:c>
      <x:c r="C179" s="19" t="str">
        <x:v>计算</x:v>
      </x:c>
      <x:c r="D179" s="20" t="n">
        <x:v>20</x:v>
      </x:c>
      <x:c r="E179" s="15" t="str">
        <x:v>换热器设计、校核与操作计算</x:v>
      </x:c>
      <x:c r="F179" s="15" t="str">
        <x:v>|H4|H2|H3|</x:v>
      </x:c>
      <x:c r="G179" s="21" t="str">
        <x:v>有一传热实验，在套管换热器中用饱和水蒸气加热空气，空气走内管，蒸汽在环 隙冷凝。已知αi&lt;α2，两侧均无垢，内管为Φ30m×2mm、长2m的紫铜管。今测得： 空气：进口温度：20℃ 出口温度：70℃ 流量：30m²/h（进状态之值） 粘度：1.94×10-Pa's（45C以下） 蒸汽：温度：110C 冷凝潜热：2250kJ/kg 冷凝量：0.85kg/h （1） 试求该套管换热器向大气散失的热量占蒸 收出热量的百分数； (2) 估计管内空气的对流传热系数（W/m （3）如空气进口温度不变，流量增到多6mh（进口状态），为了维持其出口温度仍 为70℃，问此时蒸汽温度应为多，穷可满足要求？ 注：①在实验温度范围内，空气的比热变化很小，可</x:v>
      </x:c>
      <x:c r="H179" s="15" t="str">
        <x:v>A</x:v>
      </x:c>
      <x:c r="I179" s="15" t="str">
        <x:v>42</x:v>
      </x:c>
      <x:c r="J179" s="15" t="str">
        <x:v>汇编题卷（未核实官方原卷）</x:v>
      </x:c>
      <x:c r="K179" s="22" t="str">
        <x:v>扫描题干摘录，公式与数值做题前核对原PDF。</x:v>
      </x:c>
    </x:row>
    <x:row r="180" ht="66" customHeight="1">
      <x:c r="A180" s="18" t="n">
        <x:v>2007</x:v>
      </x:c>
      <x:c r="B180" s="19" t="str">
        <x:v>2007年 五、计算</x:v>
      </x:c>
      <x:c r="C180" s="19" t="str">
        <x:v>计算</x:v>
      </x:c>
      <x:c r="D180" s="20" t="n">
        <x:v>27</x:v>
      </x:c>
      <x:c r="E180" s="15" t="str">
        <x:v>传质单元、填料高度与理论级</x:v>
      </x:c>
      <x:c r="F180" s="15" t="str">
        <x:v>|A4|A3|A5|A2|</x:v>
      </x:c>
      <x:c r="G180" s="21" t="str">
        <x:v>某填料吸收塔用清水逆流吸收混合气体中的可溶组分A，如图（a）所示。已知 吸收塔的填料层高度为5m，混合气的摩尔流率为0.022kmol/（m²·s），入塔气中含溶 质 A的浓度为5%（体积分率），在操作条件下的相平衡关系为ye=35x，吸收过程为 液膜控制，Kxa=0.95L?7kmol/（m²·s）[L的单位为kmol/（m²·s）］，要求溶质的吸收 率达到99%，试求： （1） 当清水量为0.6kmol/（m²·s）时，该塔能否完成分离任务？请说明原因。 （2）如果将该塔与另一个相同的塔连接（见图（b))，吸收用的清水分为两股，流 量相同，一股从塔1顶部注入，另一股从塔2顶部注入，塔1的出塔气体进入塔2底 部继续进行逆流吸收，则</x:v>
      </x:c>
      <x:c r="H180" s="15" t="str">
        <x:v>A</x:v>
      </x:c>
      <x:c r="I180" s="15" t="str">
        <x:v>42、43</x:v>
      </x:c>
      <x:c r="J180" s="15" t="str">
        <x:v>汇编题卷（未核实官方原卷）</x:v>
      </x:c>
      <x:c r="K180" s="22" t="str">
        <x:v>扫描题干摘录，公式与数值做题前核对原PDF。</x:v>
      </x:c>
    </x:row>
    <x:row r="181" ht="66" customHeight="1">
      <x:c r="A181" s="18" t="n">
        <x:v>2007</x:v>
      </x:c>
      <x:c r="B181" s="19" t="str">
        <x:v>2007年 六、计算</x:v>
      </x:c>
      <x:c r="C181" s="19" t="str">
        <x:v>计算</x:v>
      </x:c>
      <x:c r="D181" s="20" t="n">
        <x:v>28</x:v>
      </x:c>
      <x:c r="E181" s="15" t="str">
        <x:v>精馏衡算、操作线与进料热状态</x:v>
      </x:c>
      <x:c r="F181" s="15" t="str">
        <x:v>|D2|D4|D3|</x:v>
      </x:c>
      <x:c r="G181" s="21" t="str">
        <x:v>一连续精馏塔分离某二元理想混合液，已知精馏段第块板（理论板）的汽、液 相组成分别为0.83和0.70，相邻上层塔板的液相组成 0.77，而相邻下层塔板的汽 相组成为0.78（以上均为轻组分的摩尔分率，简）。塔顶为泡点回流，进料为饱和 液体，其组成为0.46。相对挥发度为2.5》塔顶与塔釜产量比为2/3，试求： （1） 精馏段操作线方程； (2) 提馏段操作线方程； (3) 完成分离任务所需的最小回流比； （4） 若该塔因操作中问题，进料并未在设计的最佳位置，而偏下了几块板，此时 如果保持 F、xF、 V'均同设计值，则L、V、L'、D、W、XD、Xw会发生什么 样的变化，请说明变化趋势并分析原因（同原设计时相比)。</x:v>
      </x:c>
      <x:c r="H181" s="15" t="str">
        <x:v>A</x:v>
      </x:c>
      <x:c r="I181" s="15" t="str">
        <x:v>43</x:v>
      </x:c>
      <x:c r="J181" s="15" t="str">
        <x:v>汇编题卷（未核实官方原卷）</x:v>
      </x:c>
      <x:c r="K181" s="22" t="str">
        <x:v>扫描题干摘录，公式与数值做题前核对原PDF。</x:v>
      </x:c>
    </x:row>
    <x:row r="182" ht="66" customHeight="1">
      <x:c r="A182" s="18" t="n">
        <x:v>2008</x:v>
      </x:c>
      <x:c r="B182" s="19" t="str">
        <x:v>2008年 一、填空第1题</x:v>
      </x:c>
      <x:c r="C182" s="19" t="str">
        <x:v>填空</x:v>
      </x:c>
      <x:c r="D182" s="20"/>
      <x:c r="E182" s="15" t="str">
        <x:v>连续性、伯努利与管路计算</x:v>
      </x:c>
      <x:c r="F182" s="15" t="str">
        <x:v>|F2|F3|</x:v>
      </x:c>
      <x:c r="G182" s="21" t="str">
        <x:v>流体在水平等径直管中流动时的摩擦阻力损失h所损失的是机械能中的 （1）项。</x:v>
      </x:c>
      <x:c r="H182" s="15" t="str">
        <x:v>B</x:v>
      </x:c>
      <x:c r="I182" s="15" t="str">
        <x:v>7</x:v>
      </x:c>
      <x:c r="J182" s="15" t="str">
        <x:v>汇编题卷（未核实官方原卷）</x:v>
      </x:c>
      <x:c r="K182" s="22" t="str">
        <x:v>扫描题干摘录，公式与数值做题前核对原PDF。</x:v>
      </x:c>
    </x:row>
    <x:row r="183" ht="66" customHeight="1">
      <x:c r="A183" s="18" t="n">
        <x:v>2008</x:v>
      </x:c>
      <x:c r="B183" s="19" t="str">
        <x:v>2008年 一、填空第2题</x:v>
      </x:c>
      <x:c r="C183" s="19" t="str">
        <x:v>填空</x:v>
      </x:c>
      <x:c r="D183" s="20"/>
      <x:c r="E183" s="15" t="str">
        <x:v>连续性、伯努利与管路计算</x:v>
      </x:c>
      <x:c r="F183" s="15" t="str">
        <x:v>|F2|F1|</x:v>
      </x:c>
      <x:c r="G183" s="21" t="str">
        <x:v>如附图所示，风机的进口吸风管内径为100mm，吸上水柱高 度为12mm， 空气的密度为1.2kg/m3，则风机进口管内空气的流速u=（2） d=100mm m/s，风机的 风量为_（3）m/s。</x:v>
      </x:c>
      <x:c r="H183" s="15" t="str">
        <x:v>B</x:v>
      </x:c>
      <x:c r="I183" s="15" t="str">
        <x:v>7</x:v>
      </x:c>
      <x:c r="J183" s="15" t="str">
        <x:v>汇编题卷（未核实官方原卷）</x:v>
      </x:c>
      <x:c r="K183" s="22" t="str">
        <x:v>扫描题干摘录，公式与数值做题前核对原PDF。</x:v>
      </x:c>
    </x:row>
    <x:row r="184" ht="66" customHeight="1">
      <x:c r="A184" s="18" t="n">
        <x:v>2008</x:v>
      </x:c>
      <x:c r="B184" s="19" t="str">
        <x:v>2008年 一、填空第3题</x:v>
      </x:c>
      <x:c r="C184" s="19" t="str">
        <x:v>填空</x:v>
      </x:c>
      <x:c r="D184" s="20"/>
      <x:c r="E184" s="15" t="str">
        <x:v>测速管、孔板与转子流量计</x:v>
      </x:c>
      <x:c r="F184" s="15" t="str">
        <x:v>|F5|</x:v>
      </x:c>
      <x:c r="G184" s="21" t="str">
        <x:v>孔板流量计是利用测量 (4) 的方法来测量平均 流速：毕托管 是利用测量 (5) 来测量点速度。</x:v>
      </x:c>
      <x:c r="H184" s="15" t="str">
        <x:v>B</x:v>
      </x:c>
      <x:c r="I184" s="15" t="str">
        <x:v>7</x:v>
      </x:c>
      <x:c r="J184" s="15" t="str">
        <x:v>汇编题卷（未核实官方原卷）</x:v>
      </x:c>
      <x:c r="K184" s="22" t="str">
        <x:v>扫描题干摘录，公式与数值做题前核对原PDF。</x:v>
      </x:c>
    </x:row>
    <x:row r="185" ht="66" customHeight="1">
      <x:c r="A185" s="18" t="n">
        <x:v>2008</x:v>
      </x:c>
      <x:c r="B185" s="19" t="str">
        <x:v>2008年 一、填空第4题</x:v>
      </x:c>
      <x:c r="C185" s="19" t="str">
        <x:v>填空</x:v>
      </x:c>
      <x:c r="D185" s="20"/>
      <x:c r="E185" s="15" t="str">
        <x:v>泵特性、工作点、调节与功率</x:v>
      </x:c>
      <x:c r="F185" s="15" t="str">
        <x:v>|P1|</x:v>
      </x:c>
      <x:c r="G185" s="21" t="str">
        <x:v>离心泵铭牌上标明的流量是指 (6) A.效率最高时的流量 B.泵的最大流量 C.扬程最大时的流量 D.扬程最小时的流量</x:v>
      </x:c>
      <x:c r="H185" s="15" t="str">
        <x:v>B</x:v>
      </x:c>
      <x:c r="I185" s="15" t="str">
        <x:v>7</x:v>
      </x:c>
      <x:c r="J185" s="15" t="str">
        <x:v>汇编题卷（未核实官方原卷）</x:v>
      </x:c>
      <x:c r="K185" s="22" t="str">
        <x:v>扫描题干摘录，公式与数值做题前核对原PDF。</x:v>
      </x:c>
    </x:row>
    <x:row r="186" ht="66" customHeight="1">
      <x:c r="A186" s="18" t="n">
        <x:v>2008</x:v>
      </x:c>
      <x:c r="B186" s="19" t="str">
        <x:v>2008年 一、填空第5题</x:v>
      </x:c>
      <x:c r="C186" s="19" t="str">
        <x:v>填空</x:v>
      </x:c>
      <x:c r="D186" s="20"/>
      <x:c r="E186" s="15" t="str">
        <x:v>泵特性、工作点、调节与功率</x:v>
      </x:c>
      <x:c r="F186" s="15" t="str">
        <x:v>|P1|</x:v>
      </x:c>
      <x:c r="G186" s="21" t="str">
        <x:v>一离心泵在一管路系统中工作，要求流量为Qm²/h。阀门全开时管路所需扬程为Hem，而在泵的特性 曲线上与Q对应的扬程为Hm，H&gt;He，效率为n，则阀门关小损失的功率为 (7) ，其占 泵的轴功率的百分比为 (8)%。</x:v>
      </x:c>
      <x:c r="H186" s="15" t="str">
        <x:v>B</x:v>
      </x:c>
      <x:c r="I186" s="15" t="str">
        <x:v>7</x:v>
      </x:c>
      <x:c r="J186" s="15" t="str">
        <x:v>汇编题卷（未核实官方原卷）</x:v>
      </x:c>
      <x:c r="K186" s="22" t="str">
        <x:v>扫描题干摘录，公式与数值做题前核对原PDF。</x:v>
      </x:c>
    </x:row>
    <x:row r="187" ht="66" customHeight="1">
      <x:c r="A187" s="18" t="n">
        <x:v>2008</x:v>
      </x:c>
      <x:c r="B187" s="19" t="str">
        <x:v>2008年 一、填空第6题</x:v>
      </x:c>
      <x:c r="C187" s="19" t="str">
        <x:v>填空</x:v>
      </x:c>
      <x:c r="D187" s="20"/>
      <x:c r="E187" s="15" t="str">
        <x:v>颗粒粒径、沉降与降尘室</x:v>
      </x:c>
      <x:c r="F187" s="15" t="str">
        <x:v>|S1|</x:v>
      </x:c>
      <x:c r="G187" s="21" t="str">
        <x:v>已知非球形颗粒的体积为V，则该颗粒的等体积球径为_（9） 设颗粒的比表面积为a，床层的 空隙率为e，则床层的比表面积a为_（10）</x:v>
      </x:c>
      <x:c r="H187" s="15" t="str">
        <x:v>B</x:v>
      </x:c>
      <x:c r="I187" s="15" t="str">
        <x:v>7</x:v>
      </x:c>
      <x:c r="J187" s="15" t="str">
        <x:v>汇编题卷（未核实官方原卷）</x:v>
      </x:c>
      <x:c r="K187" s="22" t="str">
        <x:v>扫描题干摘录，公式与数值做题前核对原PDF。</x:v>
      </x:c>
    </x:row>
    <x:row r="188" ht="66" customHeight="1">
      <x:c r="A188" s="18" t="n">
        <x:v>2008</x:v>
      </x:c>
      <x:c r="B188" s="19" t="str">
        <x:v>2008年 一、填空第7题</x:v>
      </x:c>
      <x:c r="C188" s="19" t="str">
        <x:v>填空</x:v>
      </x:c>
      <x:c r="D188" s="20"/>
      <x:c r="E188" s="15" t="str">
        <x:v>过滤方程与过滤常数</x:v>
      </x:c>
      <x:c r="F188" s="15" t="str">
        <x:v>|S3|</x:v>
      </x:c>
      <x:c r="G188" s="21" t="str">
        <x:v>对恒压过滤，介质阻力可以忽略时，若滤液量增大一倍时，则过滤速率为原来的_（11） 倍。当过 滤面积A增大一倍时，若滤饼不可压缩，则过滤速率增大为原来的—（12）倍；若滤饼可压缩，过滤 速率增大为原来的 （13）倍。</x:v>
      </x:c>
      <x:c r="H188" s="15" t="str">
        <x:v>B</x:v>
      </x:c>
      <x:c r="I188" s="15" t="str">
        <x:v>8</x:v>
      </x:c>
      <x:c r="J188" s="15" t="str">
        <x:v>汇编题卷（未核实官方原卷）</x:v>
      </x:c>
      <x:c r="K188" s="22" t="str">
        <x:v>扫描题干摘录，公式与数值做题前核对原PDF。</x:v>
      </x:c>
    </x:row>
    <x:row r="189" ht="66" customHeight="1">
      <x:c r="A189" s="18" t="n">
        <x:v>2008</x:v>
      </x:c>
      <x:c r="B189" s="19" t="str">
        <x:v>2008年 一、填空第8题</x:v>
      </x:c>
      <x:c r="C189" s="19" t="str">
        <x:v>填空</x:v>
      </x:c>
      <x:c r="D189" s="20"/>
      <x:c r="E189" s="15" t="str">
        <x:v>颗粒粒径、沉降与降尘室</x:v>
      </x:c>
      <x:c r="F189" s="15" t="str">
        <x:v>|S1|</x:v>
      </x:c>
      <x:c r="G189" s="21" t="str">
        <x:v>降尘室的沉降速度应根据待分离颗粒的 (14) 决定。</x:v>
      </x:c>
      <x:c r="H189" s="15" t="str">
        <x:v>B</x:v>
      </x:c>
      <x:c r="I189" s="15" t="str">
        <x:v>8</x:v>
      </x:c>
      <x:c r="J189" s="15" t="str">
        <x:v>汇编题卷（未核实官方原卷）</x:v>
      </x:c>
      <x:c r="K189" s="22" t="str">
        <x:v>扫描题干摘录，公式与数值做题前核对原PDF。</x:v>
      </x:c>
    </x:row>
    <x:row r="190" ht="66" customHeight="1">
      <x:c r="A190" s="18" t="n">
        <x:v>2008</x:v>
      </x:c>
      <x:c r="B190" s="19" t="str">
        <x:v>2008年 一、填空第9题</x:v>
      </x:c>
      <x:c r="C190" s="19" t="str">
        <x:v>填空</x:v>
      </x:c>
      <x:c r="D190" s="20"/>
      <x:c r="E190" s="15" t="str">
        <x:v>床层压降、流化状态与异常</x:v>
      </x:c>
      <x:c r="F190" s="15" t="str">
        <x:v>|B1|</x:v>
      </x:c>
      <x:c r="G190" s="21" t="str">
        <x:v>流化床的压降随气速变化的大致规律是 (15) A.起始随气速增大而直线地增大 B.基本上不随气速变化 C. △Pα √u D. △Pαu²</x:v>
      </x:c>
      <x:c r="H190" s="15" t="str">
        <x:v>B</x:v>
      </x:c>
      <x:c r="I190" s="15" t="str">
        <x:v>8</x:v>
      </x:c>
      <x:c r="J190" s="15" t="str">
        <x:v>汇编题卷（未核实官方原卷）</x:v>
      </x:c>
      <x:c r="K190" s="22" t="str">
        <x:v>扫描题干摘录，公式与数值做题前核对原PDF。</x:v>
      </x:c>
    </x:row>
    <x:row r="191" ht="66" customHeight="1">
      <x:c r="A191" s="18" t="n">
        <x:v>2008</x:v>
      </x:c>
      <x:c r="B191" s="19" t="str">
        <x:v>2008年 一、填空第10题</x:v>
      </x:c>
      <x:c r="C191" s="19" t="str">
        <x:v>填空</x:v>
      </x:c>
      <x:c r="D191" s="20"/>
      <x:c r="E191" s="15" t="str">
        <x:v>旋风分离器与离心分离</x:v>
      </x:c>
      <x:c r="F191" s="15" t="str">
        <x:v>|S2|</x:v>
      </x:c>
      <x:c r="G191" s="21" t="str">
        <x:v>一般而言，旋风分离器长径比大及入口截面积小时，其分离效率_（16）</x:v>
      </x:c>
      <x:c r="H191" s="15" t="str">
        <x:v>B</x:v>
      </x:c>
      <x:c r="I191" s="15" t="str">
        <x:v>8</x:v>
      </x:c>
      <x:c r="J191" s="15" t="str">
        <x:v>汇编题卷（未核实官方原卷）</x:v>
      </x:c>
      <x:c r="K191" s="22" t="str">
        <x:v>扫描题干摘录，公式与数值做题前核对原PDF。</x:v>
      </x:c>
    </x:row>
    <x:row r="192" ht="66" customHeight="1">
      <x:c r="A192" s="18" t="n">
        <x:v>2008</x:v>
      </x:c>
      <x:c r="B192" s="19" t="str">
        <x:v>2008年 一、填空第11题</x:v>
      </x:c>
      <x:c r="C192" s="19" t="str">
        <x:v>填空</x:v>
      </x:c>
      <x:c r="D192" s="20"/>
      <x:c r="E192" s="15" t="str">
        <x:v>热辐射</x:v>
      </x:c>
      <x:c r="F192" s="15" t="str">
        <x:v>|O1|</x:v>
      </x:c>
      <x:c r="G192" s="21" t="str">
        <x:v>已知当温度为T时，耐火砖的辐射能力大于铝板的辐射能力，则铝的黑度（17）（大于，等于，小 于）耐火砖的黑度。</x:v>
      </x:c>
      <x:c r="H192" s="15" t="str">
        <x:v>B</x:v>
      </x:c>
      <x:c r="I192" s="15" t="str">
        <x:v>8</x:v>
      </x:c>
      <x:c r="J192" s="15" t="str">
        <x:v>汇编题卷（未核实官方原卷）</x:v>
      </x:c>
      <x:c r="K192" s="22" t="str">
        <x:v>扫描题干摘录，公式与数值做题前核对原PDF。</x:v>
      </x:c>
    </x:row>
    <x:row r="193" ht="66" customHeight="1">
      <x:c r="A193" s="18" t="n">
        <x:v>2008</x:v>
      </x:c>
      <x:c r="B193" s="19" t="str">
        <x:v>2008年 一、填空第12题</x:v>
      </x:c>
      <x:c r="C193" s="19" t="str">
        <x:v>填空</x:v>
      </x:c>
      <x:c r="D193" s="20"/>
      <x:c r="E193" s="15" t="str">
        <x:v>总传热系数、热阻与壁温</x:v>
      </x:c>
      <x:c r="F193" s="15" t="str">
        <x:v>|H3|</x:v>
      </x:c>
      <x:c r="G193" s="21" t="str">
        <x:v>间壁换热器管壁温度tw接近a (18) _一侧的流体温度；总传热系数K的数值接近 (19) 侧的a值。</x:v>
      </x:c>
      <x:c r="H193" s="15" t="str">
        <x:v>B</x:v>
      </x:c>
      <x:c r="I193" s="15" t="str">
        <x:v>8</x:v>
      </x:c>
      <x:c r="J193" s="15" t="str">
        <x:v>汇编题卷（未核实官方原卷）</x:v>
      </x:c>
      <x:c r="K193" s="22" t="str">
        <x:v>扫描题干摘录，公式与数值做题前核对原PDF。</x:v>
      </x:c>
    </x:row>
    <x:row r="194" ht="66" customHeight="1">
      <x:c r="A194" s="18" t="n">
        <x:v>2008</x:v>
      </x:c>
      <x:c r="B194" s="19" t="str">
        <x:v>2008年 一、填空第13题</x:v>
      </x:c>
      <x:c r="C194" s="19" t="str">
        <x:v>填空</x:v>
      </x:c>
      <x:c r="D194" s="20"/>
      <x:c r="E194" s="15" t="str">
        <x:v>流程选择、设备结构与强化</x:v>
      </x:c>
      <x:c r="F194" s="15" t="str">
        <x:v>|H5|</x:v>
      </x:c>
      <x:c r="G194" s="21" t="str">
        <x:v>A、B两种流体在管壳式换热器中进行换热，A为腐蚀性介质，而B无腐蚀性，则 (20) 流体应走管程。</x:v>
      </x:c>
      <x:c r="H194" s="15" t="str">
        <x:v>B</x:v>
      </x:c>
      <x:c r="I194" s="15" t="str">
        <x:v>8</x:v>
      </x:c>
      <x:c r="J194" s="15" t="str">
        <x:v>汇编题卷（未核实官方原卷）</x:v>
      </x:c>
      <x:c r="K194" s="22" t="str">
        <x:v>扫描题干摘录，公式与数值做题前核对原PDF。</x:v>
      </x:c>
    </x:row>
    <x:row r="195" ht="66" customHeight="1">
      <x:c r="A195" s="18" t="n">
        <x:v>2008</x:v>
      </x:c>
      <x:c r="B195" s="19" t="str">
        <x:v>2008年 一、填空第14题</x:v>
      </x:c>
      <x:c r="C195" s="19" t="str">
        <x:v>填空</x:v>
      </x:c>
      <x:c r="D195" s="20"/>
      <x:c r="E195" s="15" t="str">
        <x:v>分子扩散、费克定律与总体流动</x:v>
      </x:c>
      <x:c r="F195" s="15" t="str">
        <x:v>|M1|</x:v>
      </x:c>
      <x:c r="G195" s="21" t="str">
        <x:v>在分子扩散中，单向扩散与等分子反向扩散相比要考虑总体流动的影响，在总体流动的存在下，扩散 速率会发生什么变化—（21）（增大、减小、不变、不确定），在什么情况下可不考虑总体流动的影 响_（22）</x:v>
      </x:c>
      <x:c r="H195" s="15" t="str">
        <x:v>B</x:v>
      </x:c>
      <x:c r="I195" s="15" t="str">
        <x:v>8</x:v>
      </x:c>
      <x:c r="J195" s="15" t="str">
        <x:v>汇编题卷（未核实官方原卷）</x:v>
      </x:c>
      <x:c r="K195" s="22" t="str">
        <x:v>扫描题干摘录，公式与数值做题前核对原PDF。</x:v>
      </x:c>
    </x:row>
    <x:row r="196" ht="66" customHeight="1">
      <x:c r="A196" s="18" t="n">
        <x:v>2008</x:v>
      </x:c>
      <x:c r="B196" s="19" t="str">
        <x:v>2008年 一、填空第15题</x:v>
      </x:c>
      <x:c r="C196" s="19" t="str">
        <x:v>填空</x:v>
      </x:c>
      <x:c r="D196" s="20"/>
      <x:c r="E196" s="15" t="str">
        <x:v>吸收 / 解吸的操作变化与强化</x:v>
      </x:c>
      <x:c r="F196" s="15" t="str">
        <x:v>|A5|A3|</x:v>
      </x:c>
      <x:c r="G196" s="21" t="str">
        <x:v>在吸收、解吸联合操作中（见右图），维持吸收塔的 气液相摩尔流 XY 率L、V，吸收气入塔组成yi，解吸气入塔含量y2 和两塔的操作 温度、压力均不变，现减少解吸气用量V，与原工况 相比，新工况下 离开解吸塔的液体含量x2（23），离开吸收塔的 气体含量y2 吸 （24），离开吸收塔的液体含量x1（25）， 吸 收塔的平均传 收 吸 质推动力△ym（26）。（增加、降低、不 不 塔 塔 确定）</x:v>
      </x:c>
      <x:c r="H196" s="15" t="str">
        <x:v>B</x:v>
      </x:c>
      <x:c r="I196" s="15" t="str">
        <x:v>8</x:v>
      </x:c>
      <x:c r="J196" s="15" t="str">
        <x:v>汇编题卷（未核实官方原卷）</x:v>
      </x:c>
      <x:c r="K196" s="22" t="str">
        <x:v>扫描题干摘录，公式与数值做题前核对原PDF。</x:v>
      </x:c>
    </x:row>
    <x:row r="197" ht="66" customHeight="1">
      <x:c r="A197" s="18" t="n">
        <x:v>2008</x:v>
      </x:c>
      <x:c r="B197" s="19" t="str">
        <x:v>2008年 一、填空第16题</x:v>
      </x:c>
      <x:c r="C197" s="19" t="str">
        <x:v>填空</x:v>
      </x:c>
      <x:c r="D197" s="20"/>
      <x:c r="E197" s="15" t="str">
        <x:v>亨利定律、平衡与传质方向</x:v>
      </x:c>
      <x:c r="F197" s="15" t="str">
        <x:v>|A1|</x:v>
      </x:c>
      <x:c r="G197" s="21" t="str">
        <x:v>在30℃下，含CO2分压为8kPa的混合 与含CO2 浓度为 0.005kmol/m²的水溶液相接触，已知该温度下cO2 水溶液的亨利 系数E=1.885x10kPa，请说明cO的传质方向为 X2y2 （27），传质 推动力为（28）kPa。</x:v>
      </x:c>
      <x:c r="H197" s="15" t="str">
        <x:v>B</x:v>
      </x:c>
      <x:c r="I197" s="15" t="str">
        <x:v>8</x:v>
      </x:c>
      <x:c r="J197" s="15" t="str">
        <x:v>汇编题卷（未核实官方原卷）</x:v>
      </x:c>
      <x:c r="K197" s="22" t="str">
        <x:v>扫描题干摘录，公式与数值做题前核对原PDF。</x:v>
      </x:c>
    </x:row>
    <x:row r="198" ht="66" customHeight="1">
      <x:c r="A198" s="18" t="n">
        <x:v>2008</x:v>
      </x:c>
      <x:c r="B198" s="19" t="str">
        <x:v>2008年 一、填空第17题</x:v>
      </x:c>
      <x:c r="C198" s="19" t="str">
        <x:v>填空</x:v>
      </x:c>
      <x:c r="D198" s="20"/>
      <x:c r="E198" s="15" t="str">
        <x:v>逐板计算、理论板与板效率</x:v>
      </x:c>
      <x:c r="F198" s="15" t="str">
        <x:v>|D3|D2|D1|</x:v>
      </x:c>
      <x:c r="G198" s="21" t="str">
        <x:v>一个连续精馏塔分离某二元理想混合物，已知体系的相对挥发度为2.5，操作回流比R=3，塔顶产品的 组成xp=0.96，测得第二层塔板（从上往下数，属于精馏段）下降的液体浓度为0.45，第三层塔板（属 于精馏段）下降的液体浓度为0.4，则第三层塔板的气相单板Murphree板效率Euv为_（29） A.22.2% B.32.68% C.44.1%D.107.5%</x:v>
      </x:c>
      <x:c r="H198" s="15" t="str">
        <x:v>B</x:v>
      </x:c>
      <x:c r="I198" s="15" t="str">
        <x:v>8</x:v>
      </x:c>
      <x:c r="J198" s="15" t="str">
        <x:v>汇编题卷（未核实官方原卷）</x:v>
      </x:c>
      <x:c r="K198" s="22" t="str">
        <x:v>扫描题干摘录，公式与数值做题前核对原PDF。</x:v>
      </x:c>
    </x:row>
    <x:row r="199" ht="66" customHeight="1">
      <x:c r="A199" s="18" t="n">
        <x:v>2008</x:v>
      </x:c>
      <x:c r="B199" s="19" t="str">
        <x:v>2008年 一、填空第18题</x:v>
      </x:c>
      <x:c r="C199" s="19" t="str">
        <x:v>填空</x:v>
      </x:c>
      <x:c r="D199" s="20"/>
      <x:c r="E199" s="15" t="str">
        <x:v>回流比、极限条件与操作分析</x:v>
      </x:c>
      <x:c r="F199" s="15" t="str">
        <x:v>|D4|D3|</x:v>
      </x:c>
      <x:c r="G199" s="21" t="str">
        <x:v>某精馏塔的精馏段理论板数为N1块，提馏段的理论板数为N2块，现因设备改造，使提馏段的理论板 数增加，精馏段的理论板数不变，且F，xr，q，R，V等条件均不变，则此时塔顶产品的组成xp_（30） 塔釜产品的组成xw_（31）。（增大、减小、不变、不定）</x:v>
      </x:c>
      <x:c r="H199" s="15" t="str">
        <x:v>B</x:v>
      </x:c>
      <x:c r="I199" s="15" t="str">
        <x:v>8</x:v>
      </x:c>
      <x:c r="J199" s="15" t="str">
        <x:v>汇编题卷（未核实官方原卷）</x:v>
      </x:c>
      <x:c r="K199" s="22" t="str">
        <x:v>扫描题干摘录，公式与数值做题前核对原PDF。</x:v>
      </x:c>
    </x:row>
    <x:row r="200" ht="66" customHeight="1">
      <x:c r="A200" s="18" t="n">
        <x:v>2008</x:v>
      </x:c>
      <x:c r="B200" s="19" t="str">
        <x:v>2008年 一、填空第19题</x:v>
      </x:c>
      <x:c r="C200" s="19" t="str">
        <x:v>填空</x:v>
      </x:c>
      <x:c r="D200" s="20"/>
      <x:c r="E200" s="15" t="str">
        <x:v>回流比、极限条件与操作分析</x:v>
      </x:c>
      <x:c r="F200" s="15" t="str">
        <x:v>|D4|</x:v>
      </x:c>
      <x:c r="G200" s="21" t="str">
        <x:v>某连续操作的精馏塔中，如果采用的回流比小于完成分离任务所需的最小回流比，则塔顶产品的组成 xo（32），塔釜产品的组成xw（33）。（增大、减小、不变、不确定）</x:v>
      </x:c>
      <x:c r="H200" s="15" t="str">
        <x:v>B</x:v>
      </x:c>
      <x:c r="I200" s="15" t="str">
        <x:v>8</x:v>
      </x:c>
      <x:c r="J200" s="15" t="str">
        <x:v>汇编题卷（未核实官方原卷）</x:v>
      </x:c>
      <x:c r="K200" s="22" t="str">
        <x:v>扫描题干摘录，公式与数值做题前核对原PDF。</x:v>
      </x:c>
    </x:row>
    <x:row r="201" ht="66" customHeight="1">
      <x:c r="A201" s="18" t="n">
        <x:v>2008</x:v>
      </x:c>
      <x:c r="B201" s="19" t="str">
        <x:v>2008年 一、填空第20题</x:v>
      </x:c>
      <x:c r="C201" s="19" t="str">
        <x:v>填空</x:v>
      </x:c>
      <x:c r="D201" s="20"/>
      <x:c r="E201" s="15" t="str">
        <x:v>选择性、分配系数与单级萃取</x:v>
      </x:c>
      <x:c r="F201" s="15" t="str">
        <x:v>|X1|</x:v>
      </x:c>
      <x:c r="G201" s="21" t="str">
        <x:v>某萃取过程，在B-S部分互溶物系中加入溶质A组分，将会使B-S的互溶度_（34），适当降低操 作温度，B-S的互溶度将会_（35）。（增大、降低、不变、不确定）溶剂对体系的选择性系数B=∞o 出现在_（36）物系中。</x:v>
      </x:c>
      <x:c r="H201" s="15" t="str">
        <x:v>B</x:v>
      </x:c>
      <x:c r="I201" s="15" t="str">
        <x:v>8</x:v>
      </x:c>
      <x:c r="J201" s="15" t="str">
        <x:v>汇编题卷（未核实官方原卷）</x:v>
      </x:c>
      <x:c r="K201" s="22" t="str">
        <x:v>扫描题干摘录，公式与数值做题前核对原PDF。</x:v>
      </x:c>
    </x:row>
    <x:row r="202" ht="66" customHeight="1">
      <x:c r="A202" s="18" t="n">
        <x:v>2008</x:v>
      </x:c>
      <x:c r="B202" s="19" t="str">
        <x:v>2008年 一、填空第21题</x:v>
      </x:c>
      <x:c r="C202" s="19" t="str">
        <x:v>填空</x:v>
      </x:c>
      <x:c r="D202" s="20"/>
      <x:c r="E202" s="15" t="str">
        <x:v>板式 / 填料塔、液泛与负荷图</x:v>
      </x:c>
      <x:c r="F202" s="15" t="str">
        <x:v>|T1|</x:v>
      </x:c>
      <x:c r="G202" s="21" t="str">
        <x:v>在某板式塔设备中，如果降低塔板间距，将会使负荷性能图中的雾沫夹带线（37），如果降液管 底隙减小，将会使淹塔线（38），如果塔板压力降增加，将会使淹塔线 （39） ，如果塔板开孔 率增加，将会使泄漏线_（40）。（上移、下移、左移、右移、不变） 第10页共5页</x:v>
      </x:c>
      <x:c r="H202" s="15" t="str">
        <x:v>B</x:v>
      </x:c>
      <x:c r="I202" s="15" t="str">
        <x:v>8、9</x:v>
      </x:c>
      <x:c r="J202" s="15" t="str">
        <x:v>汇编题卷（未核实官方原卷）</x:v>
      </x:c>
      <x:c r="K202" s="22" t="str">
        <x:v>扫描题干摘录，公式与数值做题前核对原PDF。</x:v>
      </x:c>
    </x:row>
    <x:row r="203" ht="66" customHeight="1">
      <x:c r="A203" s="18" t="n">
        <x:v>2008</x:v>
      </x:c>
      <x:c r="B203" s="19" t="str">
        <x:v>2008年 二、计算</x:v>
      </x:c>
      <x:c r="C203" s="19" t="str">
        <x:v>计算</x:v>
      </x:c>
      <x:c r="D203" s="20" t="n">
        <x:v>18</x:v>
      </x:c>
      <x:c r="E203" s="15" t="str">
        <x:v>连续性、伯努利与管路计算</x:v>
      </x:c>
      <x:c r="F203" s="15" t="str">
        <x:v>|F2|F3|</x:v>
      </x:c>
      <x:c r="G203" s="21" t="str">
        <x:v>如图所示的送水系统中，两支管路上各装一个阀门V和V2，AB管段的长度为100m（包括局部阻力的 当量长度），各管路的内径均为38mm，泵出口处压力表读数为3kgf/cm²。 试求：（1）（12分）当泵只向E槽送水而不向F槽送水，F槽的水也不向下流（V和V2两阀均适当开启） 时，管段BC（包括所有局部阻力）的总长度为多少m？ （2）（6分）若要泵同时向E和F输送水，列公式定性分析应如何调节两个阀门？ 注：两水槽中液位恒定，且与大气相通。入均为0.025，水的密度为1000kg/m²。 E 10m B 4m ?</x:v>
      </x:c>
      <x:c r="H203" s="15" t="str">
        <x:v>B</x:v>
      </x:c>
      <x:c r="I203" s="15" t="str">
        <x:v>9</x:v>
      </x:c>
      <x:c r="J203" s="15" t="str">
        <x:v>汇编题卷（未核实官方原卷）</x:v>
      </x:c>
      <x:c r="K203" s="22" t="str">
        <x:v>扫描题干摘录，公式与数值做题前核对原PDF。</x:v>
      </x:c>
    </x:row>
    <x:row r="204" ht="66" customHeight="1">
      <x:c r="A204" s="18" t="n">
        <x:v>2008</x:v>
      </x:c>
      <x:c r="B204" s="19" t="str">
        <x:v>2008年 三、计算</x:v>
      </x:c>
      <x:c r="C204" s="19" t="str">
        <x:v>计算</x:v>
      </x:c>
      <x:c r="D204" s="20" t="n">
        <x:v>14</x:v>
      </x:c>
      <x:c r="E204" s="15" t="str">
        <x:v>洗涤、板框 / 转筒与生产能力</x:v>
      </x:c>
      <x:c r="F204" s="15" t="str">
        <x:v>|S4|S3|</x:v>
      </x:c>
      <x:c r="G204" s="21" t="str">
        <x:v>某厂用压滤机过滤某胶粘物料。恒压过滤16min后，得魏液20L。过滤1h后，得滤液48L，此时滤框 已被充满，停止操作。再用15min进行洗涤、装卸。若每次过滤前于滤布表面覆盖一层助滤剂（其厚度可 忽略不计），则滤布阻力可降至原来阻力的1/4，每次覆盖助滤剂的操作需3min。试问： （1）（8分）加助滤剂前的生产能力： （2）（6分）加助滤剂后过滤机的生产能为可提高百分之几？</x:v>
      </x:c>
      <x:c r="H204" s="15" t="str">
        <x:v>B</x:v>
      </x:c>
      <x:c r="I204" s="15" t="str">
        <x:v>9</x:v>
      </x:c>
      <x:c r="J204" s="15" t="str">
        <x:v>汇编题卷（未核实官方原卷）</x:v>
      </x:c>
      <x:c r="K204" s="22" t="str">
        <x:v>扫描题干摘录，公式与数值做题前核对原PDF。</x:v>
      </x:c>
    </x:row>
    <x:row r="205" ht="66" customHeight="1">
      <x:c r="A205" s="18" t="n">
        <x:v>2008</x:v>
      </x:c>
      <x:c r="B205" s="19" t="str">
        <x:v>2008年 四、计算</x:v>
      </x:c>
      <x:c r="C205" s="19" t="str">
        <x:v>计算</x:v>
      </x:c>
      <x:c r="D205" s="20" t="n">
        <x:v>23</x:v>
      </x:c>
      <x:c r="E205" s="15" t="str">
        <x:v>换热器设计、校核与操作计算</x:v>
      </x:c>
      <x:c r="F205" s="15" t="str">
        <x:v>|H4|H2|H3|H5|</x:v>
      </x:c>
      <x:c r="G205" s="21" t="str">
        <x:v>有一水平列管式换热器， 为25x2.5mm，管长/=3.5m，根数n=37根。今用此换热器将流量为 每小时15吨的苯从30℃加热到70°℃，并用温度为119.6℃的蒸汽做热载体，蒸汽冷凝传热系数a。=10000 W/（m²C）。问： （1）（7分）管内的对流传热系数a及总传热系数K。为多少W/（m2.C）？ （2）（8分）该换热器是否适用？ （3）（3分）如不合适，当其它条件不变时，蒸汽温度提高到多少度才能满足要求？ （4）（5分）其它条件不变，如将单管程改为二管程能否满足要求？ 已知：管内污垢热阻Rs=1/1200m2C/W，管外污垢热阻可忽略；苯的密度p=900kg/m3，粘度u=0.47cP， 比热C。=1.8kJ/（kg.C</x:v>
      </x:c>
      <x:c r="H205" s="15" t="str">
        <x:v>B</x:v>
      </x:c>
      <x:c r="I205" s="15" t="str">
        <x:v>9</x:v>
      </x:c>
      <x:c r="J205" s="15" t="str">
        <x:v>汇编题卷（未核实官方原卷）</x:v>
      </x:c>
      <x:c r="K205" s="22" t="str">
        <x:v>扫描题干摘录，公式与数值做题前核对原PDF。</x:v>
      </x:c>
    </x:row>
    <x:row r="206" ht="66" customHeight="1">
      <x:c r="A206" s="18" t="n">
        <x:v>2008</x:v>
      </x:c>
      <x:c r="B206" s="19" t="str">
        <x:v>2008年 五、计算</x:v>
      </x:c>
      <x:c r="C206" s="19" t="str">
        <x:v>计算</x:v>
      </x:c>
      <x:c r="D206" s="20" t="n">
        <x:v>27</x:v>
      </x:c>
      <x:c r="E206" s="15" t="str">
        <x:v>物料衡算、操作线与最小液气比</x:v>
      </x:c>
      <x:c r="F206" s="15" t="str">
        <x:v>|A3|A4|A1|</x:v>
      </x:c>
      <x:c r="G206" s="21" t="str">
        <x:v>用油吸收空气一苯混合气中的苯，混合气中每100kmol空气含苯5kmol，溶剂油的初始浓度x=0。对 每105kmol混合气用油8kmol，操作温度为300K，操作压力为1.013×10Pa，平衡关系可应用拉乌尔定律， 苯在300K时的饱和蒸汽压为1.33X10Pa，试求： （1）（9分）油和混合气逆流接触，塔为无限高时苯的吸收率； （2）（8分）油和混合气一次接触，接触时间为无限长时苯的吸收率。 （3）（4分）第（1）种情况下的全塔对数平均推动力（用气相摩尔分率表示）； （4）（6分）第（1）和第（2）种情况下的 值分别是多少？</x:v>
      </x:c>
      <x:c r="H206" s="15" t="str">
        <x:v>B</x:v>
      </x:c>
      <x:c r="I206" s="15" t="str">
        <x:v>9、10</x:v>
      </x:c>
      <x:c r="J206" s="15" t="str">
        <x:v>汇编题卷（未核实官方原卷）</x:v>
      </x:c>
      <x:c r="K206" s="22" t="str">
        <x:v>扫描题干摘录，公式与数值做题前核对原PDF。</x:v>
      </x:c>
    </x:row>
    <x:row r="207" ht="66" customHeight="1">
      <x:c r="A207" s="18" t="n">
        <x:v>2008</x:v>
      </x:c>
      <x:c r="B207" s="19" t="str">
        <x:v>2008年 六、计算</x:v>
      </x:c>
      <x:c r="C207" s="19" t="str">
        <x:v>计算</x:v>
      </x:c>
      <x:c r="D207" s="20" t="n">
        <x:v>28</x:v>
      </x:c>
      <x:c r="E207" s="15" t="str">
        <x:v>精馏衡算、操作线与进料热状态</x:v>
      </x:c>
      <x:c r="F207" s="15" t="str">
        <x:v>|D2|D3|D1|</x:v>
      </x:c>
      <x:c r="G207" s="21" t="str">
        <x:v>如图所示，某一精馏塔内有两块理论塔板，塔顶装有全 凝器，塔釜装有 再沸器。原料为氨和水蒸气的饱和气相混合物，其中氨的浓 Dxo 度为0.001（摩 尔分率），原料在两块理论板之间进入，塔顶蒸汽在全凝器中 冷凝至饱和液 体状态，其中一部分作为塔顶产品，一部分作为回流。塔釜 液体在再沸器 中部分汽化，其中蒸汽返回塔釜，液体则作为产品抽出。 已知：进料量为F，塔顶回流量为1.3kmol/kmol原料， 从再沸器返回 塔釜的蒸汽量为0.6kmol/kmol原料，相平衡关系可取为 y.=12.6x。 试求：（1）（9分）塔顶及塔釜的产品量； （2）（3分）q线方程； （3）（16分）塔顶、塔釜的产品组成，及塔内每块理论塔板上流下的液体组成。</x:v>
      </x:c>
      <x:c r="H207" s="15" t="str">
        <x:v>B</x:v>
      </x:c>
      <x:c r="I207" s="15" t="str">
        <x:v>10</x:v>
      </x:c>
      <x:c r="J207" s="15" t="str">
        <x:v>汇编题卷（未核实官方原卷）</x:v>
      </x:c>
      <x:c r="K207" s="22" t="str">
        <x:v>扫描题干摘录，公式与数值做题前核对原PDF。</x:v>
      </x:c>
    </x:row>
    <x:row r="208" ht="66" customHeight="1">
      <x:c r="A208" s="18" t="n">
        <x:v>2009</x:v>
      </x:c>
      <x:c r="B208" s="19" t="str">
        <x:v>2009年 一、填空第1题</x:v>
      </x:c>
      <x:c r="C208" s="19" t="str">
        <x:v>填空</x:v>
      </x:c>
      <x:c r="D208" s="20"/>
      <x:c r="E208" s="15" t="str">
        <x:v>黏性、Re、流型与管路阻力</x:v>
      </x:c>
      <x:c r="F208" s="15" t="str">
        <x:v>|F3|</x:v>
      </x:c>
      <x:c r="G208" s="21" t="str">
        <x:v>经内径为158mm的钢管输送运动粘度为90m2/s的燃料油，若保持油品作层流流动，则最大流速不能超 过</x:v>
      </x:c>
      <x:c r="H208" s="15" t="str">
        <x:v>B</x:v>
      </x:c>
      <x:c r="I208" s="15" t="str">
        <x:v>11</x:v>
      </x:c>
      <x:c r="J208" s="15" t="str">
        <x:v>汇编题卷（未核实官方原卷）</x:v>
      </x:c>
      <x:c r="K208" s="22" t="str">
        <x:v>扫描题干摘录，公式与数值做题前核对原PDF。</x:v>
      </x:c>
    </x:row>
    <x:row r="209" ht="66" customHeight="1">
      <x:c r="A209" s="18" t="n">
        <x:v>2009</x:v>
      </x:c>
      <x:c r="B209" s="19" t="str">
        <x:v>2009年 一、填空第2题</x:v>
      </x:c>
      <x:c r="C209" s="19" t="str">
        <x:v>填空</x:v>
      </x:c>
      <x:c r="D209" s="20"/>
      <x:c r="E209" s="15" t="str">
        <x:v>压缩机、结晶等历史内容</x:v>
      </x:c>
      <x:c r="F209" s="15" t="str">
        <x:v>|O3|</x:v>
      </x:c>
      <x:c r="G209" s="21" t="str">
        <x:v>往复式压缩机的余隙系数e= ，则容增大，生产能力</x:v>
      </x:c>
      <x:c r="H209" s="15" t="str">
        <x:v>B</x:v>
      </x:c>
      <x:c r="I209" s="15" t="str">
        <x:v>11</x:v>
      </x:c>
      <x:c r="J209" s="15" t="str">
        <x:v>汇编题卷（未核实官方原卷）</x:v>
      </x:c>
      <x:c r="K209" s="22" t="str">
        <x:v>扫描题干摘录，公式与数值做题前核对原PDF。</x:v>
      </x:c>
    </x:row>
    <x:row r="210" ht="66" customHeight="1">
      <x:c r="A210" s="18" t="n">
        <x:v>2009</x:v>
      </x:c>
      <x:c r="B210" s="19" t="str">
        <x:v>2009年 一、填空第3题</x:v>
      </x:c>
      <x:c r="C210" s="19" t="str">
        <x:v>填空</x:v>
      </x:c>
      <x:c r="D210" s="20"/>
      <x:c r="E210" s="15" t="str">
        <x:v>颗粒粒径、沉降与降尘室</x:v>
      </x:c>
      <x:c r="F210" s="15" t="str">
        <x:v>|S1|</x:v>
      </x:c>
      <x:c r="G210" s="21" t="str">
        <x:v>沉降操作是指在某种 中利用分散相和连续相之间的 使之发生相对运动而实现分离的操 作。沉降过程有 和 沉降两种方式。</x:v>
      </x:c>
      <x:c r="H210" s="15" t="str">
        <x:v>B</x:v>
      </x:c>
      <x:c r="I210" s="15" t="str">
        <x:v>11</x:v>
      </x:c>
      <x:c r="J210" s="15" t="str">
        <x:v>汇编题卷（未核实官方原卷）</x:v>
      </x:c>
      <x:c r="K210" s="22" t="str">
        <x:v>扫描题干摘录，公式与数值做题前核对原PDF。</x:v>
      </x:c>
    </x:row>
    <x:row r="211" ht="66" customHeight="1">
      <x:c r="A211" s="18" t="n">
        <x:v>2009</x:v>
      </x:c>
      <x:c r="B211" s="19" t="str">
        <x:v>2009年 一、填空第4题</x:v>
      </x:c>
      <x:c r="C211" s="19" t="str">
        <x:v>填空</x:v>
      </x:c>
      <x:c r="D211" s="20"/>
      <x:c r="E211" s="15" t="str">
        <x:v>导热、保温与临界直径</x:v>
      </x:c>
      <x:c r="F211" s="15" t="str">
        <x:v>|H1|</x:v>
      </x:c>
      <x:c r="G211" s="21" t="str">
        <x:v>在平壁稳定热传导过程中，通过三层厚度相同的材料，三层间的温度差变化是依次降低，则三层材料的 导热系数的大小顺序是</x:v>
      </x:c>
      <x:c r="H211" s="15" t="str">
        <x:v>B</x:v>
      </x:c>
      <x:c r="I211" s="15" t="str">
        <x:v>11</x:v>
      </x:c>
      <x:c r="J211" s="15" t="str">
        <x:v>汇编题卷（未核实官方原卷）</x:v>
      </x:c>
      <x:c r="K211" s="22" t="str">
        <x:v>扫描题干摘录，公式与数值做题前核对原PDF。</x:v>
      </x:c>
    </x:row>
    <x:row r="212" ht="66" customHeight="1">
      <x:c r="A212" s="18" t="n">
        <x:v>2009</x:v>
      </x:c>
      <x:c r="B212" s="19" t="str">
        <x:v>2009年 一、填空第5题</x:v>
      </x:c>
      <x:c r="C212" s="19" t="str">
        <x:v>填空</x:v>
      </x:c>
      <x:c r="D212" s="20"/>
      <x:c r="E212" s="15" t="str">
        <x:v>沸腾与冷凝传热</x:v>
      </x:c>
      <x:c r="F212" s="15" t="str">
        <x:v>|H6|</x:v>
      </x:c>
      <x:c r="G212" s="21" t="str">
        <x:v>沸腾传热可分为三个区域，分别是 。应维持在 区内操作.</x:v>
      </x:c>
      <x:c r="H212" s="15" t="str">
        <x:v>B</x:v>
      </x:c>
      <x:c r="I212" s="15" t="str">
        <x:v>11</x:v>
      </x:c>
      <x:c r="J212" s="15" t="str">
        <x:v>汇编题卷（未核实官方原卷）</x:v>
      </x:c>
      <x:c r="K212" s="22" t="str">
        <x:v>扫描题干摘录，公式与数值做题前核对原PDF。</x:v>
      </x:c>
    </x:row>
    <x:row r="213" ht="66" customHeight="1">
      <x:c r="A213" s="18" t="n">
        <x:v>2009</x:v>
      </x:c>
      <x:c r="B213" s="19" t="str">
        <x:v>2009年 一、填空第6题</x:v>
      </x:c>
      <x:c r="C213" s="19" t="str">
        <x:v>填空</x:v>
      </x:c>
      <x:c r="D213" s="20"/>
      <x:c r="E213" s="15" t="str">
        <x:v>热辐射</x:v>
      </x:c>
      <x:c r="F213" s="15" t="str">
        <x:v>|O1|</x:v>
      </x:c>
      <x:c r="G213" s="21" t="str">
        <x:v>灰体的辐射能力 同温度下黑体的辐射能力。灰体的吸收率 灰体的黑度。</x:v>
      </x:c>
      <x:c r="H213" s="15" t="str">
        <x:v>B</x:v>
      </x:c>
      <x:c r="I213" s="15" t="str">
        <x:v>11</x:v>
      </x:c>
      <x:c r="J213" s="15" t="str">
        <x:v>汇编题卷（未核实官方原卷）</x:v>
      </x:c>
      <x:c r="K213" s="22" t="str">
        <x:v>扫描题干摘录，公式与数值做题前核对原PDF。</x:v>
      </x:c>
    </x:row>
    <x:row r="214" ht="66" customHeight="1">
      <x:c r="A214" s="18" t="n">
        <x:v>2009</x:v>
      </x:c>
      <x:c r="B214" s="19" t="str">
        <x:v>2009年 一、填空第7题</x:v>
      </x:c>
      <x:c r="C214" s="19" t="str">
        <x:v>填空</x:v>
      </x:c>
      <x:c r="D214" s="20"/>
      <x:c r="E214" s="15" t="str">
        <x:v>回流比、极限条件与操作分析</x:v>
      </x:c>
      <x:c r="F214" s="15" t="str">
        <x:v>|D4|D2|</x:v>
      </x:c>
      <x:c r="G214" s="21" t="str">
        <x:v>在连续精馏塔中，其它条件均不变时，仅加大回流，可以使塔顶产品xD ，若此时加热蒸汽量V不 变，产品量D将 。若在改变R的同时，保持塔顶采出量不变必需增加蒸汽用量，那么冷却水用量将一</x:v>
      </x:c>
      <x:c r="H214" s="15" t="str">
        <x:v>B</x:v>
      </x:c>
      <x:c r="I214" s="15" t="str">
        <x:v>11</x:v>
      </x:c>
      <x:c r="J214" s="15" t="str">
        <x:v>汇编题卷（未核实官方原卷）</x:v>
      </x:c>
      <x:c r="K214" s="22" t="str">
        <x:v>扫描题干摘录，公式与数值做题前核对原PDF。</x:v>
      </x:c>
    </x:row>
    <x:row r="215" ht="66" customHeight="1">
      <x:c r="A215" s="18" t="n">
        <x:v>2009</x:v>
      </x:c>
      <x:c r="B215" s="19" t="str">
        <x:v>2009年 一、填空第8题</x:v>
      </x:c>
      <x:c r="C215" s="19" t="str">
        <x:v>填空</x:v>
      </x:c>
      <x:c r="D215" s="20"/>
      <x:c r="E215" s="15" t="str">
        <x:v>双膜理论、控制阻力与传质系数</x:v>
      </x:c>
      <x:c r="F215" s="15" t="str">
        <x:v>|A2|</x:v>
      </x:c>
      <x:c r="G215" s="21" t="str">
        <x:v>所谓气膜控制，即吸收总阻力集中在 一侧阻力可忽略：如果吸收质气体属于 难溶气体，则此吸收过程是 控制。</x:v>
      </x:c>
      <x:c r="H215" s="15" t="str">
        <x:v>B</x:v>
      </x:c>
      <x:c r="I215" s="15" t="str">
        <x:v>11</x:v>
      </x:c>
      <x:c r="J215" s="15" t="str">
        <x:v>汇编题卷（未核实官方原卷）</x:v>
      </x:c>
      <x:c r="K215" s="22" t="str">
        <x:v>扫描题干摘录，公式与数值做题前核对原PDF。</x:v>
      </x:c>
    </x:row>
    <x:row r="216" ht="66" customHeight="1">
      <x:c r="A216" s="18" t="n">
        <x:v>2009</x:v>
      </x:c>
      <x:c r="B216" s="19" t="str">
        <x:v>2009年 一、填空第9题</x:v>
      </x:c>
      <x:c r="C216" s="19" t="str">
        <x:v>填空</x:v>
      </x:c>
      <x:c r="D216" s="20"/>
      <x:c r="E216" s="15" t="str">
        <x:v>选择性、分配系数与单级萃取</x:v>
      </x:c>
      <x:c r="F216" s="15" t="str">
        <x:v>|X1|</x:v>
      </x:c>
      <x:c r="G216" s="21" t="str">
        <x:v>萃取操作的依据是 萃取操作选择溶剂的主要原则是</x:v>
      </x:c>
      <x:c r="H216" s="15" t="str">
        <x:v>B</x:v>
      </x:c>
      <x:c r="I216" s="15" t="str">
        <x:v>11</x:v>
      </x:c>
      <x:c r="J216" s="15" t="str">
        <x:v>汇编题卷（未核实官方原卷）</x:v>
      </x:c>
      <x:c r="K216" s="22" t="str">
        <x:v>扫描题干摘录，公式与数值做题前核对原PDF。</x:v>
      </x:c>
    </x:row>
    <x:row r="217" ht="66" customHeight="1">
      <x:c r="A217" s="18" t="n">
        <x:v>2009</x:v>
      </x:c>
      <x:c r="B217" s="19" t="str">
        <x:v>2009年 二、判断第1题</x:v>
      </x:c>
      <x:c r="C217" s="19" t="str">
        <x:v>判断</x:v>
      </x:c>
      <x:c r="D217" s="20" t="n">
        <x:v>1</x:v>
      </x:c>
      <x:c r="E217" s="15" t="str">
        <x:v>黏性、Re、流型与管路阻力</x:v>
      </x:c>
      <x:c r="F217" s="15" t="str">
        <x:v>|F3|</x:v>
      </x:c>
      <x:c r="G217" s="21" t="str">
        <x:v>用雷诺准数来判断流体的流动形态时，在SI制中属层流范围，在cgs制中则属湍流范围。 C ）</x:v>
      </x:c>
      <x:c r="H217" s="15" t="str">
        <x:v>B</x:v>
      </x:c>
      <x:c r="I217" s="15" t="str">
        <x:v>12</x:v>
      </x:c>
      <x:c r="J217" s="15" t="str">
        <x:v>汇编题卷（未核实官方原卷）</x:v>
      </x:c>
      <x:c r="K217" s="22" t="str">
        <x:v>扫描题干摘录，公式与数值做题前核对原PDF。</x:v>
      </x:c>
    </x:row>
    <x:row r="218" ht="66" customHeight="1">
      <x:c r="A218" s="18" t="n">
        <x:v>2009</x:v>
      </x:c>
      <x:c r="B218" s="19" t="str">
        <x:v>2009年 二、判断第2题</x:v>
      </x:c>
      <x:c r="C218" s="19" t="str">
        <x:v>判断</x:v>
      </x:c>
      <x:c r="D218" s="20" t="n">
        <x:v>1</x:v>
      </x:c>
      <x:c r="E218" s="15" t="str">
        <x:v>颗粒粒径、沉降与降尘室</x:v>
      </x:c>
      <x:c r="F218" s="15" t="str">
        <x:v>|S1|</x:v>
      </x:c>
      <x:c r="G218" s="21" t="str">
        <x:v>沉降器的生产能力与沉降速度及沉降面积有关，与沉降高度无关。（</x:v>
      </x:c>
      <x:c r="H218" s="15" t="str">
        <x:v>B</x:v>
      </x:c>
      <x:c r="I218" s="15" t="str">
        <x:v>12</x:v>
      </x:c>
      <x:c r="J218" s="15" t="str">
        <x:v>汇编题卷（未核实官方原卷）</x:v>
      </x:c>
      <x:c r="K218" s="22" t="str">
        <x:v>扫描题干摘录，公式与数值做题前核对原PDF。</x:v>
      </x:c>
    </x:row>
    <x:row r="219" ht="66" customHeight="1">
      <x:c r="A219" s="18" t="n">
        <x:v>2009</x:v>
      </x:c>
      <x:c r="B219" s="19" t="str">
        <x:v>2009年 二、判断第3题</x:v>
      </x:c>
      <x:c r="C219" s="19" t="str">
        <x:v>判断</x:v>
      </x:c>
      <x:c r="D219" s="20" t="n">
        <x:v>1</x:v>
      </x:c>
      <x:c r="E219" s="15" t="str">
        <x:v>洗涤、板框 / 转筒与生产能力</x:v>
      </x:c>
      <x:c r="F219" s="15" t="str">
        <x:v>|S4|</x:v>
      </x:c>
      <x:c r="G219" s="21" t="str">
        <x:v>用板框式过滤机进行恒压过滤操作，随着过滤时间的增加，滤液量不断增加，生产能力也不断增加。 ）</x:v>
      </x:c>
      <x:c r="H219" s="15" t="str">
        <x:v>B</x:v>
      </x:c>
      <x:c r="I219" s="15" t="str">
        <x:v>12</x:v>
      </x:c>
      <x:c r="J219" s="15" t="str">
        <x:v>汇编题卷（未核实官方原卷）</x:v>
      </x:c>
      <x:c r="K219" s="22" t="str">
        <x:v>扫描题干摘录，公式与数值做题前核对原PDF。</x:v>
      </x:c>
    </x:row>
    <x:row r="220" ht="66" customHeight="1">
      <x:c r="A220" s="18" t="n">
        <x:v>2009</x:v>
      </x:c>
      <x:c r="B220" s="19" t="str">
        <x:v>2009年 二、判断第4题</x:v>
      </x:c>
      <x:c r="C220" s="19" t="str">
        <x:v>判断</x:v>
      </x:c>
      <x:c r="D220" s="20" t="n">
        <x:v>1</x:v>
      </x:c>
      <x:c r="E220" s="15" t="str">
        <x:v>导热、保温与临界直径</x:v>
      </x:c>
      <x:c r="F220" s="15" t="str">
        <x:v>|H1|</x:v>
      </x:c>
      <x:c r="G220" s="21" t="str">
        <x:v>多层导热时，其总传热推动力为各层推动力之和，总热阻也为各层热阻之和。（</x:v>
      </x:c>
      <x:c r="H220" s="15" t="str">
        <x:v>B</x:v>
      </x:c>
      <x:c r="I220" s="15" t="str">
        <x:v>12</x:v>
      </x:c>
      <x:c r="J220" s="15" t="str">
        <x:v>汇编题卷（未核实官方原卷）</x:v>
      </x:c>
      <x:c r="K220" s="22" t="str">
        <x:v>扫描题干摘录，公式与数值做题前核对原PDF。</x:v>
      </x:c>
    </x:row>
    <x:row r="221" ht="66" customHeight="1">
      <x:c r="A221" s="18" t="n">
        <x:v>2009</x:v>
      </x:c>
      <x:c r="B221" s="19" t="str">
        <x:v>2009年 二、判断第5题</x:v>
      </x:c>
      <x:c r="C221" s="19" t="str">
        <x:v>判断</x:v>
      </x:c>
      <x:c r="D221" s="20" t="n">
        <x:v>1</x:v>
      </x:c>
      <x:c r="E221" s="15" t="str">
        <x:v>热辐射</x:v>
      </x:c>
      <x:c r="F221" s="15" t="str">
        <x:v>|O1|</x:v>
      </x:c>
      <x:c r="G221" s="21" t="str">
        <x:v>黑体、镜体、和灰体都是理想化的物体，在自然界中并不存在。 ）</x:v>
      </x:c>
      <x:c r="H221" s="15" t="str">
        <x:v>B</x:v>
      </x:c>
      <x:c r="I221" s="15" t="str">
        <x:v>12</x:v>
      </x:c>
      <x:c r="J221" s="15" t="str">
        <x:v>汇编题卷（未核实官方原卷）</x:v>
      </x:c>
      <x:c r="K221" s="22" t="str">
        <x:v>扫描题干摘录，公式与数值做题前核对原PDF。</x:v>
      </x:c>
    </x:row>
    <x:row r="222" ht="66" customHeight="1">
      <x:c r="A222" s="18" t="n">
        <x:v>2009</x:v>
      </x:c>
      <x:c r="B222" s="19" t="str">
        <x:v>2009年 三、简答第1题</x:v>
      </x:c>
      <x:c r="C222" s="19" t="str">
        <x:v>简答</x:v>
      </x:c>
      <x:c r="D222" s="20" t="n">
        <x:v>5</x:v>
      </x:c>
      <x:c r="E222" s="15" t="str">
        <x:v>压缩机、结晶等历史内容</x:v>
      </x:c>
      <x:c r="F222" s="15" t="str">
        <x:v>|O3|</x:v>
      </x:c>
      <x:c r="G222" s="21" t="str">
        <x:v>采用多级压缩的优点有哪些？</x:v>
      </x:c>
      <x:c r="H222" s="15" t="str">
        <x:v>B</x:v>
      </x:c>
      <x:c r="I222" s="15" t="str">
        <x:v>12</x:v>
      </x:c>
      <x:c r="J222" s="15" t="str">
        <x:v>汇编题卷（未核实官方原卷）</x:v>
      </x:c>
      <x:c r="K222" s="22" t="str">
        <x:v>扫描题干摘录，公式与数值做题前核对原PDF。</x:v>
      </x:c>
    </x:row>
    <x:row r="223" ht="66" customHeight="1">
      <x:c r="A223" s="18" t="n">
        <x:v>2009</x:v>
      </x:c>
      <x:c r="B223" s="19" t="str">
        <x:v>2009年 三、简答第2题</x:v>
      </x:c>
      <x:c r="C223" s="19" t="str">
        <x:v>简答</x:v>
      </x:c>
      <x:c r="D223" s="20" t="n">
        <x:v>5</x:v>
      </x:c>
      <x:c r="E223" s="15" t="str">
        <x:v>导热、保温与临界直径</x:v>
      </x:c>
      <x:c r="F223" s="15" t="str">
        <x:v>|H1|</x:v>
      </x:c>
      <x:c r="G223" s="21" t="str">
        <x:v>单层圆筒壁的内、外半径分别为r和r2，壁表面温度分别为T'和，若&lt;T，试写出圆筒任意半径 处的温度表达式？</x:v>
      </x:c>
      <x:c r="H223" s="15" t="str">
        <x:v>B</x:v>
      </x:c>
      <x:c r="I223" s="15" t="str">
        <x:v>12</x:v>
      </x:c>
      <x:c r="J223" s="15" t="str">
        <x:v>汇编题卷（未核实官方原卷）</x:v>
      </x:c>
      <x:c r="K223" s="22" t="str">
        <x:v>扫描题干摘录，公式与数值做题前核对原PDF。</x:v>
      </x:c>
    </x:row>
    <x:row r="224" ht="66" customHeight="1">
      <x:c r="A224" s="18" t="n">
        <x:v>2009</x:v>
      </x:c>
      <x:c r="B224" s="19" t="str">
        <x:v>2009年 三、简答第3题</x:v>
      </x:c>
      <x:c r="C224" s="19" t="str">
        <x:v>简答</x:v>
      </x:c>
      <x:c r="D224" s="20" t="n">
        <x:v>5</x:v>
      </x:c>
      <x:c r="E224" s="15" t="str">
        <x:v>选择性、分配系数与单级萃取</x:v>
      </x:c>
      <x:c r="F224" s="15" t="str">
        <x:v>|X1|</x:v>
      </x:c>
      <x:c r="G224" s="21" t="str">
        <x:v>画出单级萃取操作相图。</x:v>
      </x:c>
      <x:c r="H224" s="15" t="str">
        <x:v>B</x:v>
      </x:c>
      <x:c r="I224" s="15" t="str">
        <x:v>12</x:v>
      </x:c>
      <x:c r="J224" s="15" t="str">
        <x:v>汇编题卷（未核实官方原卷）</x:v>
      </x:c>
      <x:c r="K224" s="22" t="str">
        <x:v>扫描题干摘录，公式与数值做题前核对原PDF。</x:v>
      </x:c>
    </x:row>
    <x:row r="225" ht="66" customHeight="1">
      <x:c r="A225" s="18" t="n">
        <x:v>2009</x:v>
      </x:c>
      <x:c r="B225" s="19" t="str">
        <x:v>2009年 三、简答第4题</x:v>
      </x:c>
      <x:c r="C225" s="19" t="str">
        <x:v>简答</x:v>
      </x:c>
      <x:c r="D225" s="20" t="n">
        <x:v>5</x:v>
      </x:c>
      <x:c r="E225" s="15" t="str">
        <x:v>板式 / 填料塔、液泛与负荷图</x:v>
      </x:c>
      <x:c r="F225" s="15" t="str">
        <x:v>|T1|</x:v>
      </x:c>
      <x:c r="G225" s="21" t="str">
        <x:v>板式塔塔板上造成液面落差的原因有哪些？如何防止？</x:v>
      </x:c>
      <x:c r="H225" s="15" t="str">
        <x:v>B</x:v>
      </x:c>
      <x:c r="I225" s="15" t="str">
        <x:v>12</x:v>
      </x:c>
      <x:c r="J225" s="15" t="str">
        <x:v>汇编题卷（未核实官方原卷）</x:v>
      </x:c>
      <x:c r="K225" s="22" t="str">
        <x:v>扫描题干摘录，公式与数值做题前核对原PDF。</x:v>
      </x:c>
    </x:row>
    <x:row r="226" ht="66" customHeight="1">
      <x:c r="A226" s="18" t="n">
        <x:v>2009</x:v>
      </x:c>
      <x:c r="B226" s="19" t="str">
        <x:v>2009年 四、计算第1题</x:v>
      </x:c>
      <x:c r="C226" s="19" t="str">
        <x:v>计算</x:v>
      </x:c>
      <x:c r="D226" s="20" t="n">
        <x:v>20</x:v>
      </x:c>
      <x:c r="E226" s="15" t="str">
        <x:v>泵特性、工作点、调节与功率</x:v>
      </x:c>
      <x:c r="F226" s="15" t="str">
        <x:v>|P1|F2|F3|F1|</x:v>
      </x:c>
      <x:c r="G226" s="21" t="str">
        <x:v>(20分)如图所示，用效率为65%的离心泵将水由 散口水池输送至散口 高位槽E和F，调节阀门V2（E、F内液面高度保持不 变），使R降为零时， D点压力表读数为0.05MPa。 现重新调节阀门V，使离心泵入口真空表B的读 数为12kPa，与孔板流 量计相连接的U形管压差计读数R2=400mmHg求此 时泵的轴功率。 已知：各管段直管及所有局部阻力的总当量 如下表。各段管路的摩 擦阻力系数均取为0.03，孔板流量计的孔径为25mm， 流量系数Co=0.625，流 2×4P 量计算公式为：V=C。A 其他数据见 附图。 第1题附图 管段代号 AB CD DE DF 管规格/mm 108x4 108x4 76x3.5 76x3.5 总当量</x:v>
      </x:c>
      <x:c r="H226" s="15" t="str">
        <x:v>B</x:v>
      </x:c>
      <x:c r="I226" s="15" t="str">
        <x:v>12</x:v>
      </x:c>
      <x:c r="J226" s="15" t="str">
        <x:v>汇编题卷（未核实官方原卷）</x:v>
      </x:c>
      <x:c r="K226" s="22" t="str">
        <x:v>扫描题干摘录，公式与数值做题前核对原PDF。</x:v>
      </x:c>
    </x:row>
    <x:row r="227" ht="66" customHeight="1">
      <x:c r="A227" s="18" t="n">
        <x:v>2009</x:v>
      </x:c>
      <x:c r="B227" s="19" t="str">
        <x:v>2009年 四、计算第2题</x:v>
      </x:c>
      <x:c r="C227" s="19" t="str">
        <x:v>计算</x:v>
      </x:c>
      <x:c r="D227" s="20" t="n">
        <x:v>20</x:v>
      </x:c>
      <x:c r="E227" s="15" t="str">
        <x:v>洗涤、板框 / 转筒与生产能力</x:v>
      </x:c>
      <x:c r="F227" s="15" t="str">
        <x:v>|S4|S3|</x:v>
      </x:c>
      <x:c r="G227" s="21" t="str">
        <x:v>（20分）用一板框压滤机在2kgf/cm2的表压下对某悬浮液进行恒压过滤。在该操作压力下，过滤常数为 K=1.5x10-5m2/s，滤饼与滤液的体积比为0.12m2/m²，整理、装卸等辅助时间为30min。过滤30min时所得滤 液体积5m3。滤饼不可压缩，过滤介质阻力可以忽略不计。 试求：①压滤机的过滤面积A；（6分） ②若用滤液体积1/8的洗液在相同的压力下对滤饼进行横穿洗涤，洗液与滤液粘度相同，求在一个最 佳操作周期中所获得的滤饼体积：（8分） ③将过滤和洗涤的操作表压力降到1kgf/cm²，其它条件不变，最大生产能力为原来生产能力的倍数： (6分）</x:v>
      </x:c>
      <x:c r="H227" s="15" t="str">
        <x:v>B</x:v>
      </x:c>
      <x:c r="I227" s="15" t="str">
        <x:v>13</x:v>
      </x:c>
      <x:c r="J227" s="15" t="str">
        <x:v>汇编题卷（未核实官方原卷）</x:v>
      </x:c>
      <x:c r="K227" s="22" t="str">
        <x:v>扫描题干摘录，公式与数值做题前核对原PDF。</x:v>
      </x:c>
    </x:row>
    <x:row r="228" ht="66" customHeight="1">
      <x:c r="A228" s="18" t="n">
        <x:v>2009</x:v>
      </x:c>
      <x:c r="B228" s="19" t="str">
        <x:v>2009年 四、计算第3题</x:v>
      </x:c>
      <x:c r="C228" s="19" t="str">
        <x:v>计算</x:v>
      </x:c>
      <x:c r="D228" s="20" t="n">
        <x:v>20</x:v>
      </x:c>
      <x:c r="E228" s="15" t="str">
        <x:v>换热器设计、校核与操作计算</x:v>
      </x:c>
      <x:c r="F228" s="15" t="str">
        <x:v>|H4|H2|H3|H5|</x:v>
      </x:c>
      <x:c r="G228" s="21" t="str">
        <x:v>（20分）现有一单程列管式换热器，管子尺寸Φ19x2mm，管长为3.0m，共有40根，拟用来将2x10*kg/h 的苯从20℃加热到55℃，壳程（管外）为130℃的水蒸气冷凝。管内苯侧的污垢热阻为R=8.5x104m2.K/W， 管外的污垢热阻及换热器热损失忽略不计。试求： ①换热器的总传热系数K，W/（m².K）：（7分） ②判断该换热器是否可用：（6分） ③若使用上述换热器，实际操作过程中苯的出口温度；（3分） ④操作过程中可以采取哪些措施使苯的出口温度达到原工艺要求。（4分） 已知：管材的导热系数为45W/（(m·K）；水蒸汽的冷凝传热系数a.为10W/（m2.K) 定性温度下苯的物性参数可视为常数：密度p=900kg/m3，</x:v>
      </x:c>
      <x:c r="H228" s="15" t="str">
        <x:v>B</x:v>
      </x:c>
      <x:c r="I228" s="15" t="str">
        <x:v>13</x:v>
      </x:c>
      <x:c r="J228" s="15" t="str">
        <x:v>汇编题卷（未核实官方原卷）</x:v>
      </x:c>
      <x:c r="K228" s="22" t="str">
        <x:v>扫描题干摘录，公式与数值做题前核对原PDF。</x:v>
      </x:c>
    </x:row>
    <x:row r="229" ht="66" customHeight="1">
      <x:c r="A229" s="18" t="n">
        <x:v>2009</x:v>
      </x:c>
      <x:c r="B229" s="19" t="str">
        <x:v>2009年 四、计算第4题</x:v>
      </x:c>
      <x:c r="C229" s="19" t="str">
        <x:v>计算</x:v>
      </x:c>
      <x:c r="D229" s="20" t="n">
        <x:v>20</x:v>
      </x:c>
      <x:c r="E229" s="15" t="str">
        <x:v>传质单元、填料高度与理论级</x:v>
      </x:c>
      <x:c r="F229" s="15" t="str">
        <x:v>|A4|A3|A5|</x:v>
      </x:c>
      <x:c r="G229" s="21" t="str">
        <x:v>（20分）有一填料逆流吸收塔，在101.3kPa的压力下用清水吸收空气中的氨，进口气体中含氨6%（体 积分率），要求吸收率达到99%，混合气体流率为2128kmol/(m2-h），进口清水流率为50kmol/(m2.h)，填料层 高度为4.6m，已知操作条件下的相平衡关系 9X， 气相总体积传质系数KyaαP。 试求：①出口尾气的组成Y：（4分） ②操作液气比为最小液气比的多 （4分） ③气相传质单元高度HoG和氯租传质单元数NoG：（6分） ④其他条件不变，若操 增加一倍，要保持原来的吸收率，填料层高度应变为原来的多少倍？（6 分）</x:v>
      </x:c>
      <x:c r="H229" s="15" t="str">
        <x:v>B</x:v>
      </x:c>
      <x:c r="I229" s="15" t="str">
        <x:v>13</x:v>
      </x:c>
      <x:c r="J229" s="15" t="str">
        <x:v>汇编题卷（未核实官方原卷）</x:v>
      </x:c>
      <x:c r="K229" s="22" t="str">
        <x:v>扫描题干摘录，公式与数值做题前核对原PDF。</x:v>
      </x:c>
    </x:row>
    <x:row r="230" ht="66" customHeight="1">
      <x:c r="A230" s="18" t="n">
        <x:v>2009</x:v>
      </x:c>
      <x:c r="B230" s="19" t="str">
        <x:v>2009年 四、计算第5题</x:v>
      </x:c>
      <x:c r="C230" s="19" t="str">
        <x:v>计算</x:v>
      </x:c>
      <x:c r="D230" s="20" t="n">
        <x:v>20</x:v>
      </x:c>
      <x:c r="E230" s="15" t="str">
        <x:v>精馏衡算、操作线与进料热状态</x:v>
      </x:c>
      <x:c r="F230" s="15" t="str">
        <x:v>|D2|D3|D4|D1|</x:v>
      </x:c>
      <x:c r="G230" s="21" t="str">
        <x:v>（20分）在常压下采用精馏的方法分离进料量为100kmol/h，进料组成为0.35（摩尔分率，下同）的苯、 甲苯混合物，泡点进料，要求塔顶馏出液中苯含量不低于0.95，其回收率中不低于98%，塔顶设全凝器，泡点 回流，操作回流比为最小回流比的1.4倍，塔底设一签式再沸器，苯对甲苯的相对挥发度为2.47。 试求：①塔底产品组成xww：（5分） ②操作回流比R：（5分） ③将再沸器视为一块理论板，求再沸器入口液体组成及出口气相组成：（6分） ④在回流比R=2.5的实际工况条件下，在精馏段取2个取样点，取样点间有4块实际塔板，取样点所在 板上的气相组成分别为：第j板：y=0.825：第j+3板：Y+3=0.66，试求该塔段的总板效率Er。</x:v>
      </x:c>
      <x:c r="H230" s="15" t="str">
        <x:v>B</x:v>
      </x:c>
      <x:c r="I230" s="15" t="str">
        <x:v>14</x:v>
      </x:c>
      <x:c r="J230" s="15" t="str">
        <x:v>汇编题卷（未核实官方原卷）</x:v>
      </x:c>
      <x:c r="K230" s="22" t="str">
        <x:v>扫描题干摘录，公式与数值做题前核对原PDF。</x:v>
      </x:c>
    </x:row>
    <x:row r="231" ht="66" customHeight="1">
      <x:c r="A231" s="18" t="n">
        <x:v>2010</x:v>
      </x:c>
      <x:c r="B231" s="19" t="str">
        <x:v>2010年 一、填空第1题</x:v>
      </x:c>
      <x:c r="C231" s="19" t="str">
        <x:v>填空</x:v>
      </x:c>
      <x:c r="D231" s="20"/>
      <x:c r="E231" s="15" t="str">
        <x:v>黏性、Re、流型与管路阻力</x:v>
      </x:c>
      <x:c r="F231" s="15" t="str">
        <x:v>|F3|F2|</x:v>
      </x:c>
      <x:c r="G231" s="21" t="str">
        <x:v>流体以层流状态流过串联直管的管段1和管段2，已知两管段长度相等，管段， 1:内径d=0:1m，管段2内径d=0.2m，则流体流过两管段阻力损失的比值hn/h2= 若流动处于完全湍流状态；且两管段的相对粗糙度相同，则hn/hn=</x:v>
      </x:c>
      <x:c r="H231" s="15" t="str">
        <x:v>B</x:v>
      </x:c>
      <x:c r="I231" s="15" t="str">
        <x:v>15</x:v>
      </x:c>
      <x:c r="J231" s="15" t="str">
        <x:v>回忆版（可能不完整）</x:v>
      </x:c>
      <x:c r="K231" s="22" t="str">
        <x:v>扫描题干摘录，公式与数值做题前核对原PDF。</x:v>
      </x:c>
    </x:row>
    <x:row r="232" ht="66" customHeight="1">
      <x:c r="A232" s="18" t="n">
        <x:v>2010</x:v>
      </x:c>
      <x:c r="B232" s="19" t="str">
        <x:v>2010年 一、填空第2题</x:v>
      </x:c>
      <x:c r="C232" s="19" t="str">
        <x:v>填空</x:v>
      </x:c>
      <x:c r="D232" s="20"/>
      <x:c r="E232" s="15" t="str">
        <x:v>黏性、Re、流型与管路阻力</x:v>
      </x:c>
      <x:c r="F232" s="15" t="str">
        <x:v>|F3|</x:v>
      </x:c>
      <x:c r="G232" s="21" t="str">
        <x:v>流体在圆形直管内流动时，若流动为层流流动，则流体在管内 处速度最大， 且等于管内平均流速的：倍。</x:v>
      </x:c>
      <x:c r="H232" s="15" t="str">
        <x:v>B</x:v>
      </x:c>
      <x:c r="I232" s="15" t="str">
        <x:v>15</x:v>
      </x:c>
      <x:c r="J232" s="15" t="str">
        <x:v>回忆版（可能不完整）</x:v>
      </x:c>
      <x:c r="K232" s="22" t="str">
        <x:v>扫描题干摘录，公式与数值做题前核对原PDF。</x:v>
      </x:c>
    </x:row>
    <x:row r="233" ht="66" customHeight="1">
      <x:c r="A233" s="18" t="n">
        <x:v>2010</x:v>
      </x:c>
      <x:c r="B233" s="19" t="str">
        <x:v>2010年 一、填空第3题</x:v>
      </x:c>
      <x:c r="C233" s="19" t="str">
        <x:v>填空</x:v>
      </x:c>
      <x:c r="D233" s="20"/>
      <x:c r="E233" s="15" t="str">
        <x:v>边界层与因次分析</x:v>
      </x:c>
      <x:c r="F233" s="15" t="str">
        <x:v>|F4|</x:v>
      </x:c>
      <x:c r="G233" s="21" t="str">
        <x:v>流体在内径为d的直管中流动 当流动充分发展以后，其流动边界层厚度为</x:v>
      </x:c>
      <x:c r="H233" s="15" t="str">
        <x:v>B</x:v>
      </x:c>
      <x:c r="I233" s="15" t="str">
        <x:v>15</x:v>
      </x:c>
      <x:c r="J233" s="15" t="str">
        <x:v>回忆版（可能不完整）</x:v>
      </x:c>
      <x:c r="K233" s="22" t="str">
        <x:v>扫描题干摘录，公式与数值做题前核对原PDF。</x:v>
      </x:c>
    </x:row>
    <x:row r="234" ht="66" customHeight="1">
      <x:c r="A234" s="18" t="n">
        <x:v>2010</x:v>
      </x:c>
      <x:c r="B234" s="19" t="str">
        <x:v>2010年 一、填空第4题</x:v>
      </x:c>
      <x:c r="C234" s="19" t="str">
        <x:v>填空</x:v>
      </x:c>
      <x:c r="D234" s="20"/>
      <x:c r="E234" s="15" t="str">
        <x:v>汽蚀、气缚、安装与开停</x:v>
      </x:c>
      <x:c r="F234" s="15" t="str">
        <x:v>|P2|</x:v>
      </x:c>
      <x:c r="G234" s="21" t="str">
        <x:v>为避免离心泵运行时发生汽蚀；则要求实际安装高度Z允许安装高度[Z]。</x:v>
      </x:c>
      <x:c r="H234" s="15" t="str">
        <x:v>B</x:v>
      </x:c>
      <x:c r="I234" s="15" t="str">
        <x:v>15</x:v>
      </x:c>
      <x:c r="J234" s="15" t="str">
        <x:v>回忆版（可能不完整）</x:v>
      </x:c>
      <x:c r="K234" s="22" t="str">
        <x:v>扫描题干摘录，公式与数值做题前核对原PDF。</x:v>
      </x:c>
    </x:row>
    <x:row r="235" ht="66" customHeight="1">
      <x:c r="A235" s="18" t="n">
        <x:v>2010</x:v>
      </x:c>
      <x:c r="B235" s="19" t="str">
        <x:v>2010年 一、填空第5题</x:v>
      </x:c>
      <x:c r="C235" s="19" t="str">
        <x:v>填空</x:v>
      </x:c>
      <x:c r="D235" s="20"/>
      <x:c r="E235" s="15" t="str">
        <x:v>泵特性、工作点、调节与功率</x:v>
      </x:c>
      <x:c r="F235" s="15" t="str">
        <x:v>|P1|</x:v>
      </x:c>
      <x:c r="G235" s="21" t="str">
        <x:v>往复泵的流量调节可采用 或或</x:v>
      </x:c>
      <x:c r="H235" s="15" t="str">
        <x:v>B</x:v>
      </x:c>
      <x:c r="I235" s="15" t="str">
        <x:v>15</x:v>
      </x:c>
      <x:c r="J235" s="15" t="str">
        <x:v>回忆版（可能不完整）</x:v>
      </x:c>
      <x:c r="K235" s="22" t="str">
        <x:v>扫描题干摘录，公式与数值做题前核对原PDF。</x:v>
      </x:c>
    </x:row>
    <x:row r="236" ht="66" customHeight="1">
      <x:c r="A236" s="18" t="n">
        <x:v>2010</x:v>
      </x:c>
      <x:c r="B236" s="19" t="str">
        <x:v>2010年 一、填空第6题</x:v>
      </x:c>
      <x:c r="C236" s="19" t="str">
        <x:v>填空</x:v>
      </x:c>
      <x:c r="D236" s="20"/>
      <x:c r="E236" s="15" t="str">
        <x:v>床层压降、流化状态与异常</x:v>
      </x:c>
      <x:c r="F236" s="15" t="str">
        <x:v>|B1|</x:v>
      </x:c>
      <x:c r="G236" s="21" t="str">
        <x:v>根据颗粒在流化床中的分散状态，可把流化床分为 流化床和流化 床两种。</x:v>
      </x:c>
      <x:c r="H236" s="15" t="str">
        <x:v>B</x:v>
      </x:c>
      <x:c r="I236" s="15" t="str">
        <x:v>15</x:v>
      </x:c>
      <x:c r="J236" s="15" t="str">
        <x:v>回忆版（可能不完整）</x:v>
      </x:c>
      <x:c r="K236" s="22" t="str">
        <x:v>扫描题干摘录，公式与数值做题前核对原PDF。</x:v>
      </x:c>
    </x:row>
    <x:row r="237" ht="66" customHeight="1">
      <x:c r="A237" s="18" t="n">
        <x:v>2010</x:v>
      </x:c>
      <x:c r="B237" s="19" t="str">
        <x:v>2010年 一、填空第7题</x:v>
      </x:c>
      <x:c r="C237" s="19" t="str">
        <x:v>填空</x:v>
      </x:c>
      <x:c r="D237" s="20"/>
      <x:c r="E237" s="15" t="str">
        <x:v>颗粒粒径、沉降与降尘室</x:v>
      </x:c>
      <x:c r="F237" s="15" t="str">
        <x:v>|S1|</x:v>
      </x:c>
      <x:c r="G237" s="21" t="str">
        <x:v>在长为L，高为H的降尘室中，颗粒沉降速度为u，气体通过降尘室的水平速 度为u，则颗粒在降尘室内沉降分离的条件是_，若将该降尘室加2.层水平隔 板，则其生产能力为原来的，，倍。 n=2</x:v>
      </x:c>
      <x:c r="H237" s="15" t="str">
        <x:v>B</x:v>
      </x:c>
      <x:c r="I237" s="15" t="str">
        <x:v>15</x:v>
      </x:c>
      <x:c r="J237" s="15" t="str">
        <x:v>回忆版（可能不完整）</x:v>
      </x:c>
      <x:c r="K237" s="22" t="str">
        <x:v>扫描题干摘录，公式与数值做题前核对原PDF。</x:v>
      </x:c>
    </x:row>
    <x:row r="238" ht="66" customHeight="1">
      <x:c r="A238" s="18" t="n">
        <x:v>2010</x:v>
      </x:c>
      <x:c r="B238" s="19" t="str">
        <x:v>2010年 一、填空第8题</x:v>
      </x:c>
      <x:c r="C238" s="19" t="str">
        <x:v>填空</x:v>
      </x:c>
      <x:c r="D238" s="20"/>
      <x:c r="E238" s="15" t="str">
        <x:v>洗涤、板框 / 转筒与生产能力</x:v>
      </x:c>
      <x:c r="F238" s="15" t="str">
        <x:v>|S4|</x:v>
      </x:c>
      <x:c r="G238" s="21" t="str">
        <x:v>用一板框过滤机过滤某悬浮液，其最终过滤速率为0.02m2/s，然后用同样粘度 的洗涤液洗涤滤饼，则洗涤速率等于 ，；若采用真空叶滤机，其最终过滤速 率也为0.02m/s，则其洗涤速率等于 ·（洗涤压力差与最终过滤压力差相同）</x:v>
      </x:c>
      <x:c r="H238" s="15" t="str">
        <x:v>B</x:v>
      </x:c>
      <x:c r="I238" s="15" t="str">
        <x:v>15、16</x:v>
      </x:c>
      <x:c r="J238" s="15" t="str">
        <x:v>回忆版（可能不完整）</x:v>
      </x:c>
      <x:c r="K238" s="22" t="str">
        <x:v>扫描题干摘录，公式与数值做题前核对原PDF。</x:v>
      </x:c>
    </x:row>
    <x:row r="239" ht="66" customHeight="1">
      <x:c r="A239" s="18" t="n">
        <x:v>2010</x:v>
      </x:c>
      <x:c r="B239" s="19" t="str">
        <x:v>2010年 一、填空第9题</x:v>
      </x:c>
      <x:c r="C239" s="19" t="str">
        <x:v>填空</x:v>
      </x:c>
      <x:c r="D239" s="20"/>
      <x:c r="E239" s="15" t="str">
        <x:v>颗粒粒径、沉降与降尘室</x:v>
      </x:c>
      <x:c r="F239" s="15" t="str">
        <x:v>|S1|</x:v>
      </x:c>
      <x:c r="G239" s="21" t="str">
        <x:v>已知某颗粒的等比表面积当量直径与其等体积当量直径相等，则该颗粒是 颗粒。</x:v>
      </x:c>
      <x:c r="H239" s="15" t="str">
        <x:v>B</x:v>
      </x:c>
      <x:c r="I239" s="15" t="str">
        <x:v>16</x:v>
      </x:c>
      <x:c r="J239" s="15" t="str">
        <x:v>回忆版（可能不完整）</x:v>
      </x:c>
      <x:c r="K239" s="22" t="str">
        <x:v>扫描题干摘录，公式与数值做题前核对原PDF。</x:v>
      </x:c>
    </x:row>
    <x:row r="240" ht="66" customHeight="1">
      <x:c r="A240" s="18" t="n">
        <x:v>2010</x:v>
      </x:c>
      <x:c r="B240" s="19" t="str">
        <x:v>2010年 一、填空第10题</x:v>
      </x:c>
      <x:c r="C240" s="19" t="str">
        <x:v>填空</x:v>
      </x:c>
      <x:c r="D240" s="20"/>
      <x:c r="E240" s="15" t="str">
        <x:v>换热器设计、校核与操作计算</x:v>
      </x:c>
      <x:c r="F240" s="15" t="str">
        <x:v>|H4|H3|</x:v>
      </x:c>
      <x:c r="G240" s="21" t="str">
        <x:v>用水在逆流操作的套管换热器中冷却某液体，要求热流体的进出口温度T1， T.及流量qm不变，今因冷却水进口温度t增高，为保证完成生产任务，提高冷 却水的流量qm2，则过程的总传热系数将_平均传热温差将</x:v>
      </x:c>
      <x:c r="H240" s="15" t="str">
        <x:v>B</x:v>
      </x:c>
      <x:c r="I240" s="15" t="str">
        <x:v>16</x:v>
      </x:c>
      <x:c r="J240" s="15" t="str">
        <x:v>回忆版（可能不完整）</x:v>
      </x:c>
      <x:c r="K240" s="22" t="str">
        <x:v>扫描题干摘录，公式与数值做题前核对原PDF。</x:v>
      </x:c>
    </x:row>
    <x:row r="241" ht="66" customHeight="1">
      <x:c r="A241" s="18" t="n">
        <x:v>2010</x:v>
      </x:c>
      <x:c r="B241" s="19" t="str">
        <x:v>2010年 一、填空第11题</x:v>
      </x:c>
      <x:c r="C241" s="19" t="str">
        <x:v>填空</x:v>
      </x:c>
      <x:c r="D241" s="20"/>
      <x:c r="E241" s="15" t="str">
        <x:v>流程选择、设备结构与强化</x:v>
      </x:c>
      <x:c r="F241" s="15" t="str">
        <x:v>|H5|</x:v>
      </x:c>
      <x:c r="G241" s="21" t="str">
        <x:v>固定管板式列管换热器加设膨胀节的目的是</x:v>
      </x:c>
      <x:c r="H241" s="15" t="str">
        <x:v>B</x:v>
      </x:c>
      <x:c r="I241" s="15" t="str">
        <x:v>16</x:v>
      </x:c>
      <x:c r="J241" s="15" t="str">
        <x:v>回忆版（可能不完整）</x:v>
      </x:c>
      <x:c r="K241" s="22" t="str">
        <x:v>扫描题干摘录，公式与数值做题前核对原PDF。</x:v>
      </x:c>
    </x:row>
    <x:row r="242" ht="66" customHeight="1">
      <x:c r="A242" s="18" t="n">
        <x:v>2010</x:v>
      </x:c>
      <x:c r="B242" s="19" t="str">
        <x:v>2010年 一、填空第12题</x:v>
      </x:c>
      <x:c r="C242" s="19" t="str">
        <x:v>填空</x:v>
      </x:c>
      <x:c r="D242" s="20"/>
      <x:c r="E242" s="15" t="str">
        <x:v>热辐射</x:v>
      </x:c>
      <x:c r="F242" s="15" t="str">
        <x:v>|O1|</x:v>
      </x:c>
      <x:c r="G242" s="21" t="str">
        <x:v>*一切物体的发射能力与其吸收率的比值均 ，且等于</x:v>
      </x:c>
      <x:c r="H242" s="15" t="str">
        <x:v>B</x:v>
      </x:c>
      <x:c r="I242" s="15" t="str">
        <x:v>16</x:v>
      </x:c>
      <x:c r="J242" s="15" t="str">
        <x:v>回忆版（可能不完整）</x:v>
      </x:c>
      <x:c r="K242" s="22" t="str">
        <x:v>扫描题干摘录，公式与数值做题前核对原PDF。</x:v>
      </x:c>
    </x:row>
    <x:row r="243" ht="66" customHeight="1">
      <x:c r="A243" s="18" t="n">
        <x:v>2010</x:v>
      </x:c>
      <x:c r="B243" s="19" t="str">
        <x:v>2010年 一、填空第13题</x:v>
      </x:c>
      <x:c r="C243" s="19" t="str">
        <x:v>填空</x:v>
      </x:c>
      <x:c r="D243" s="20"/>
      <x:c r="E243" s="15" t="str">
        <x:v>沸腾与冷凝传热</x:v>
      </x:c>
      <x:c r="F243" s="15" t="str">
        <x:v>|H6|</x:v>
      </x:c>
      <x:c r="G243" s="21" t="str">
        <x:v>沸腾传热可分为 状沸腾和 状沸腾 一般工业沸腾传热维持 状沸腾。</x:v>
      </x:c>
      <x:c r="H243" s="15" t="str">
        <x:v>B</x:v>
      </x:c>
      <x:c r="I243" s="15" t="str">
        <x:v>16</x:v>
      </x:c>
      <x:c r="J243" s="15" t="str">
        <x:v>回忆版（可能不完整）</x:v>
      </x:c>
      <x:c r="K243" s="22" t="str">
        <x:v>扫描题干摘录，公式与数值做题前核对原PDF。</x:v>
      </x:c>
    </x:row>
    <x:row r="244" ht="66" customHeight="1">
      <x:c r="A244" s="18" t="n">
        <x:v>2010</x:v>
      </x:c>
      <x:c r="B244" s="19" t="str">
        <x:v>2010年 一、填空第14题</x:v>
      </x:c>
      <x:c r="C244" s="19" t="str">
        <x:v>填空</x:v>
      </x:c>
      <x:c r="D244" s="20"/>
      <x:c r="E244" s="15" t="str">
        <x:v>对流传热、准数与膜系数</x:v>
      </x:c>
      <x:c r="F244" s="15" t="str">
        <x:v>|H2|</x:v>
      </x:c>
      <x:c r="G244" s="21" t="str">
        <x:v>在相同流动状态下的无相变对流传热过程中，长管的表面传热系数（又称对流 传热膜系数） 于短管的表面传热系数，弯管的表面传热系数 于直 管的表面传热系数。</x:v>
      </x:c>
      <x:c r="H244" s="15" t="str">
        <x:v>B</x:v>
      </x:c>
      <x:c r="I244" s="15" t="str">
        <x:v>16</x:v>
      </x:c>
      <x:c r="J244" s="15" t="str">
        <x:v>回忆版（可能不完整）</x:v>
      </x:c>
      <x:c r="K244" s="22" t="str">
        <x:v>扫描题干摘录，公式与数值做题前核对原PDF。</x:v>
      </x:c>
    </x:row>
    <x:row r="245" ht="66" customHeight="1">
      <x:c r="A245" s="18" t="n">
        <x:v>2010</x:v>
      </x:c>
      <x:c r="B245" s="19" t="str">
        <x:v>2010年 一、填空第15题</x:v>
      </x:c>
      <x:c r="C245" s="19" t="str">
        <x:v>填空</x:v>
      </x:c>
      <x:c r="D245" s="20"/>
      <x:c r="E245" s="15" t="str">
        <x:v>相平衡、相对挥发度与闪蒸</x:v>
      </x:c>
      <x:c r="F245" s="15" t="str">
        <x:v>|D1|</x:v>
      </x:c>
      <x:c r="G245" s="21" t="str">
        <x:v>用精馏塔分离二元液相混合物，塔顶上升蒸汽是温度为的二元气相混和物， 泡点回流，其温度为t，则t &lt;、不能确定)。</x:v>
      </x:c>
      <x:c r="H245" s="15" t="str">
        <x:v>B</x:v>
      </x:c>
      <x:c r="I245" s="15" t="str">
        <x:v>16</x:v>
      </x:c>
      <x:c r="J245" s="15" t="str">
        <x:v>回忆版（可能不完整）</x:v>
      </x:c>
      <x:c r="K245" s="22" t="str">
        <x:v>扫描题干摘录，公式与数值做题前核对原PDF。</x:v>
      </x:c>
    </x:row>
    <x:row r="246" ht="66" customHeight="1">
      <x:c r="A246" s="18" t="n">
        <x:v>2010</x:v>
      </x:c>
      <x:c r="B246" s="19" t="str">
        <x:v>2010年 一、填空第16题</x:v>
      </x:c>
      <x:c r="C246" s="19" t="str">
        <x:v>填空</x:v>
      </x:c>
      <x:c r="D246" s="20"/>
      <x:c r="E246" s="15" t="str">
        <x:v>简单、间歇与特殊蒸馏</x:v>
      </x:c>
      <x:c r="F246" s="15" t="str">
        <x:v>|D5|</x:v>
      </x:c>
      <x:c r="G246" s="21" t="str">
        <x:v>回流比保持恒定的间歇精其塔顶馈出液的温度将逐渐 ：釜液温度将 不断</x:v>
      </x:c>
      <x:c r="H246" s="15" t="str">
        <x:v>B</x:v>
      </x:c>
      <x:c r="I246" s="15" t="str">
        <x:v>16</x:v>
      </x:c>
      <x:c r="J246" s="15" t="str">
        <x:v>回忆版（可能不完整）</x:v>
      </x:c>
      <x:c r="K246" s="22" t="str">
        <x:v>扫描题干摘录，公式与数值做题前核对原PDF。</x:v>
      </x:c>
    </x:row>
    <x:row r="247" ht="66" customHeight="1">
      <x:c r="A247" s="18" t="n">
        <x:v>2010</x:v>
      </x:c>
      <x:c r="B247" s="19" t="str">
        <x:v>2010年 一、填空第17题</x:v>
      </x:c>
      <x:c r="C247" s="19" t="str">
        <x:v>填空</x:v>
      </x:c>
      <x:c r="D247" s="20"/>
      <x:c r="E247" s="15" t="str">
        <x:v>精馏衡算、操作线与进料热状态</x:v>
      </x:c>
      <x:c r="F247" s="15" t="str">
        <x:v>|D2|</x:v>
      </x:c>
      <x:c r="G247" s="21" t="str">
        <x:v>用精馏塔分离某 元混合物，已知进料量为120kmol/h，进料组成Xr=0.5，如 果要求塔顶得到组成X，不小于0.95的产品，则塔项馏出液的最大流量为 kmol/h. 1=5</x:v>
      </x:c>
      <x:c r="H247" s="15" t="str">
        <x:v>B</x:v>
      </x:c>
      <x:c r="I247" s="15" t="str">
        <x:v>16</x:v>
      </x:c>
      <x:c r="J247" s="15" t="str">
        <x:v>回忆版（可能不完整）</x:v>
      </x:c>
      <x:c r="K247" s="22" t="str">
        <x:v>扫描题干摘录，公式与数值做题前核对原PDF。</x:v>
      </x:c>
    </x:row>
    <x:row r="248" ht="66" customHeight="1">
      <x:c r="A248" s="18" t="n">
        <x:v>2010</x:v>
      </x:c>
      <x:c r="B248" s="19" t="str">
        <x:v>2010年 一、填空第18题</x:v>
      </x:c>
      <x:c r="C248" s="19" t="str">
        <x:v>填空</x:v>
      </x:c>
      <x:c r="D248" s="20"/>
      <x:c r="E248" s="15" t="str">
        <x:v>物料衡算、操作线与最小液气比</x:v>
      </x:c>
      <x:c r="F248" s="15" t="str">
        <x:v>|A3|A4|</x:v>
      </x:c>
      <x:c r="G248" s="21" t="str">
        <x:v>在逆流操作的填料吸收塔中，若吸收因子A=0.5，气液相平衡关系为y=2x， 塔底气相进料中溶质浓度 yi=0.5，当填料层高h=co，塔底液相浓度为_2。</x:v>
      </x:c>
      <x:c r="H248" s="15" t="str">
        <x:v>B</x:v>
      </x:c>
      <x:c r="I248" s="15" t="str">
        <x:v>16</x:v>
      </x:c>
      <x:c r="J248" s="15" t="str">
        <x:v>回忆版（可能不完整）</x:v>
      </x:c>
      <x:c r="K248" s="22" t="str">
        <x:v>扫描题干摘录，公式与数值做题前核对原PDF。</x:v>
      </x:c>
    </x:row>
    <x:row r="249" ht="66" customHeight="1">
      <x:c r="A249" s="18" t="n">
        <x:v>2010</x:v>
      </x:c>
      <x:c r="B249" s="19" t="str">
        <x:v>2010年 一、填空第19题</x:v>
      </x:c>
      <x:c r="C249" s="19" t="str">
        <x:v>填空</x:v>
      </x:c>
      <x:c r="D249" s="20"/>
      <x:c r="E249" s="15" t="str">
        <x:v>吸收 / 解吸的操作变化与强化</x:v>
      </x:c>
      <x:c r="F249" s="15" t="str">
        <x:v>|A5|</x:v>
      </x:c>
      <x:c r="G249" s="21" t="str">
        <x:v>在吸收操作过程中，保持气、液相流量、气相进口组成不变，若液相进口浓度 降低，则塔内平均传质推动力 一，气相出口浓度将</x:v>
      </x:c>
      <x:c r="H249" s="15" t="str">
        <x:v>B</x:v>
      </x:c>
      <x:c r="I249" s="15" t="str">
        <x:v>16</x:v>
      </x:c>
      <x:c r="J249" s="15" t="str">
        <x:v>回忆版（可能不完整）</x:v>
      </x:c>
      <x:c r="K249" s="22" t="str">
        <x:v>扫描题干摘录，公式与数值做题前核对原PDF。</x:v>
      </x:c>
    </x:row>
    <x:row r="250" ht="66" customHeight="1">
      <x:c r="A250" s="18" t="n">
        <x:v>2010</x:v>
      </x:c>
      <x:c r="B250" s="19" t="str">
        <x:v>2010年 一、填空第20题</x:v>
      </x:c>
      <x:c r="C250" s="19" t="str">
        <x:v>填空</x:v>
      </x:c>
      <x:c r="D250" s="20"/>
      <x:c r="E250" s="15" t="str">
        <x:v>传质单元、填料高度与理论级</x:v>
      </x:c>
      <x:c r="F250" s="15" t="str">
        <x:v>|A4|</x:v>
      </x:c>
      <x:c r="G250" s="21" t="str">
        <x:v>在吸收过程中，若保持操作条件不变，增大填料层高度，则吸收过程的HoG 将 ，Noo将</x:v>
      </x:c>
      <x:c r="H250" s="15" t="str">
        <x:v>B</x:v>
      </x:c>
      <x:c r="I250" s="15" t="str">
        <x:v>16</x:v>
      </x:c>
      <x:c r="J250" s="15" t="str">
        <x:v>回忆版（可能不完整）</x:v>
      </x:c>
      <x:c r="K250" s="22" t="str">
        <x:v>扫描题干摘录，公式与数值做题前核对原PDF。</x:v>
      </x:c>
    </x:row>
    <x:row r="251" ht="66" customHeight="1">
      <x:c r="A251" s="18" t="n">
        <x:v>2010</x:v>
      </x:c>
      <x:c r="B251" s="19" t="str">
        <x:v>2010年 一、填空第21题</x:v>
      </x:c>
      <x:c r="C251" s="19" t="str">
        <x:v>填空</x:v>
      </x:c>
      <x:c r="D251" s="20"/>
      <x:c r="E251" s="15" t="str">
        <x:v>干燥与湿空气</x:v>
      </x:c>
      <x:c r="F251" s="15" t="str">
        <x:v>|O2|</x:v>
      </x:c>
      <x:c r="G251" s="21" t="str">
        <x:v>*以空气作为干燥介质，当所用空气的相对湿度降低时湿物料的平衡水分应 自由水分应</x:v>
      </x:c>
      <x:c r="H251" s="15" t="str">
        <x:v>B</x:v>
      </x:c>
      <x:c r="I251" s="15" t="str">
        <x:v>16</x:v>
      </x:c>
      <x:c r="J251" s="15" t="str">
        <x:v>回忆版（可能不完整）</x:v>
      </x:c>
      <x:c r="K251" s="22" t="str">
        <x:v>扫描题干摘录，公式与数值做题前核对原PDF。</x:v>
      </x:c>
    </x:row>
    <x:row r="252" ht="66" customHeight="1">
      <x:c r="A252" s="18" t="n">
        <x:v>2010</x:v>
      </x:c>
      <x:c r="B252" s="19" t="str">
        <x:v>2010年 一、填空第22题</x:v>
      </x:c>
      <x:c r="C252" s="19" t="str">
        <x:v>填空</x:v>
      </x:c>
      <x:c r="D252" s="20"/>
      <x:c r="E252" s="15" t="str">
        <x:v>选择性、分配系数与单级萃取</x:v>
      </x:c>
      <x:c r="F252" s="15" t="str">
        <x:v>|X1|</x:v>
      </x:c>
      <x:c r="G252" s="21" t="str">
        <x:v>单级萃取操作中，在维持相同萃余相浓度下，用含有少量溶质的萃取剂S'代 替纯萃取剂S，则溶剂S用量将 ，萃取液中溶质的浓度将</x:v>
      </x:c>
      <x:c r="H252" s="15" t="str">
        <x:v>B</x:v>
      </x:c>
      <x:c r="I252" s="15" t="str">
        <x:v>17</x:v>
      </x:c>
      <x:c r="J252" s="15" t="str">
        <x:v>回忆版（可能不完整）</x:v>
      </x:c>
      <x:c r="K252" s="22" t="str">
        <x:v>扫描题干摘录，公式与数值做题前核对原PDF。</x:v>
      </x:c>
    </x:row>
    <x:row r="253" ht="66" customHeight="1">
      <x:c r="A253" s="18" t="n">
        <x:v>2010</x:v>
      </x:c>
      <x:c r="B253" s="19" t="str">
        <x:v>2010年 一、填空第23题</x:v>
      </x:c>
      <x:c r="C253" s="19" t="str">
        <x:v>填空</x:v>
      </x:c>
      <x:c r="D253" s="20"/>
      <x:c r="E253" s="15" t="str">
        <x:v>选择性、分配系数与单级萃取</x:v>
      </x:c>
      <x:c r="F253" s="15" t="str">
        <x:v>|X1|</x:v>
      </x:c>
      <x:c r="G253" s="21" t="str">
        <x:v>单级萃取中若溶质的分配系数与原溶剂的分配系数比值k^/kB=5，则溶质的选 择性系数为 5.</x:v>
      </x:c>
      <x:c r="H253" s="15" t="str">
        <x:v>B</x:v>
      </x:c>
      <x:c r="I253" s="15" t="str">
        <x:v>17</x:v>
      </x:c>
      <x:c r="J253" s="15" t="str">
        <x:v>回忆版（可能不完整）</x:v>
      </x:c>
      <x:c r="K253" s="22" t="str">
        <x:v>扫描题干摘录，公式与数值做题前核对原PDF。</x:v>
      </x:c>
    </x:row>
    <x:row r="254" ht="66" customHeight="1">
      <x:c r="A254" s="18" t="n">
        <x:v>2010</x:v>
      </x:c>
      <x:c r="B254" s="19" t="str">
        <x:v>2010年 二、计算</x:v>
      </x:c>
      <x:c r="C254" s="19" t="str">
        <x:v>计算</x:v>
      </x:c>
      <x:c r="D254" s="20" t="n">
        <x:v>21</x:v>
      </x:c>
      <x:c r="E254" s="15" t="str">
        <x:v>泵特性、工作点、调节与功率</x:v>
      </x:c>
      <x:c r="F254" s="15" t="str">
        <x:v>|P1|F2|F3|</x:v>
      </x:c>
      <x:c r="G254" s="21" t="str">
        <x:v>如图所示，用离心泵从贮油罐向一设备输送密度为800kg/m3的油品。油罐上方 通大气，设备内液面上方压力为0.2kgf/cm²（表），输送管线均为p57×3.5mm 的钢管，管路总长（包括所有当量长度）为360m，摩擦系数入=0.03，可视为常数， 管路中有一截止阀，阀两侧接一倒装U形管压差计，其读数为R=20mm、泵的特 性曲线方程为：H=30-2.202×10°Q²（式中:H为扬程mQ为流量，m²/s）。 试求： （1）列出管路特性曲线方程： （2）计算管路中油品的流量Q（m²/s）及泵的扬程H（m）; （3）计算管路中截止阀的局部阻力素数 空气 11m</x:v>
      </x:c>
      <x:c r="H254" s="15" t="str">
        <x:v>B</x:v>
      </x:c>
      <x:c r="I254" s="15" t="str">
        <x:v>17</x:v>
      </x:c>
      <x:c r="J254" s="15" t="str">
        <x:v>回忆版（可能不完整）</x:v>
      </x:c>
      <x:c r="K254" s="22" t="str">
        <x:v>扫描题干摘录，公式与数值做题前核对原PDF。</x:v>
      </x:c>
    </x:row>
    <x:row r="255" ht="66" customHeight="1">
      <x:c r="A255" s="18" t="n">
        <x:v>2010</x:v>
      </x:c>
      <x:c r="B255" s="19" t="str">
        <x:v>2010年 三、计算</x:v>
      </x:c>
      <x:c r="C255" s="19" t="str">
        <x:v>计算</x:v>
      </x:c>
      <x:c r="D255" s="20" t="n">
        <x:v>14</x:v>
      </x:c>
      <x:c r="E255" s="15" t="str">
        <x:v>洗涤、板框 / 转筒与生产能力</x:v>
      </x:c>
      <x:c r="F255" s="15" t="str">
        <x:v>|S4|S3|</x:v>
      </x:c>
      <x:c r="G255" s="21" t="str">
        <x:v>某厂拟用长650mmm×宽650mm的板框过滤机在0.IMPa、20°C下分离某水悬浮 液，要求最大生产能力达到10m3/h。已知该悬浮液中含固相3%（质量分率），固 相密度为2930kg/m3，每m3滤饼中含固相1503kg。小型实验测得过滤常数K= 0.6m2/h，过滤介质阻力可忽略不计。过滤终了用20°℃清水进行横穿洗涤，洗涤 （1）达到最大生产能力时的滤液体积V，m3； （2）完成生产任务至少要配置滤框的数目。</x:v>
      </x:c>
      <x:c r="H255" s="15" t="str">
        <x:v>B</x:v>
      </x:c>
      <x:c r="I255" s="15" t="str">
        <x:v>17、18</x:v>
      </x:c>
      <x:c r="J255" s="15" t="str">
        <x:v>回忆版（可能不完整）</x:v>
      </x:c>
      <x:c r="K255" s="22" t="str">
        <x:v>扫描题干摘录，公式与数值做题前核对原PDF。</x:v>
      </x:c>
    </x:row>
    <x:row r="256" ht="66" customHeight="1">
      <x:c r="A256" s="18" t="n">
        <x:v>2010</x:v>
      </x:c>
      <x:c r="B256" s="19" t="str">
        <x:v>2010年 四、计算</x:v>
      </x:c>
      <x:c r="C256" s="19" t="str">
        <x:v>计算</x:v>
      </x:c>
      <x:c r="D256" s="20" t="n">
        <x:v>25</x:v>
      </x:c>
      <x:c r="E256" s="15" t="str">
        <x:v>换热器设计、校核与操作计算</x:v>
      </x:c>
      <x:c r="F256" s="15" t="str">
        <x:v>|H4|H2|H5|</x:v>
      </x:c>
      <x:c r="G256" s="21" t="str">
        <x:v>现有传热面积为15m²的单程列管换热器，壳程通入饱和水蒸气加热管内的 空气。160°℃的饱和水蒸气冷凝为同温度下的水。空气流量为2.8kg/s，入口 温度为30°C,比热容为1kJ/(kg·°C)，对流传热系数为87W/（m²·°C）。试 (1）空气的出口温度; (2)若还有一台与原换热器传热面积和结构相同的单程列管换热器，在饱和水蒸 气温度及空气流量、入口温度不变的条件下，欲提高空气的出口温度，两台换热 器采用并联操作还是串联操作？ 计算中假定空气物性不随温度变化，空气在管内均为湍流流动，换热器热损失可 忽略不计。</x:v>
      </x:c>
      <x:c r="H256" s="15" t="str">
        <x:v>B</x:v>
      </x:c>
      <x:c r="I256" s="15" t="str">
        <x:v>18</x:v>
      </x:c>
      <x:c r="J256" s="15" t="str">
        <x:v>回忆版（可能不完整）</x:v>
      </x:c>
      <x:c r="K256" s="22" t="str">
        <x:v>扫描题干摘录，公式与数值做题前核对原PDF。</x:v>
      </x:c>
    </x:row>
    <x:row r="257" ht="66" customHeight="1">
      <x:c r="A257" s="18" t="n">
        <x:v>2010</x:v>
      </x:c>
      <x:c r="B257" s="19" t="str">
        <x:v>2010年 五、计算</x:v>
      </x:c>
      <x:c r="C257" s="19" t="str">
        <x:v>计算</x:v>
      </x:c>
      <x:c r="D257" s="20" t="n">
        <x:v>25</x:v>
      </x:c>
      <x:c r="E257" s="15" t="str">
        <x:v>传质单元、填料高度与理论级</x:v>
      </x:c>
      <x:c r="F257" s="15" t="str">
        <x:v>|A4|A3|A5|</x:v>
      </x:c>
      <x:c r="G257" s="21" t="str">
        <x:v>一逆流操作吸收塔如下图所示。 混合气体由塔底引入，其中可溶组分的浓度 y=0.05.（摩尔分率，下同）单位塔截面上的气相流率6mVB= 0.014kmol/m²·s）。吸收剂分两处加入。由塔顶加入的为纯溶剂，单位塔截面 上的流率 Lp1=0.0112kmol/m².s)。从塔顶往下，经 2m 填料层高度后，又加 人一股xa=0.01的吸收剂，单位塔截面上的流率L2=0.0112kmol/（m².s), 再经6m的填料层高度后，液体由塔底引出。全塔各处Kya均0.028kmol/ （m²·s)，物系平衡关系y=0.8x 试求：（1）第二股吸收剂L2加入后，塔内该截面的液相浓度x"; （2)塔底排出的液相浓度xb； (3）为使出塔气体浓</x:v>
      </x:c>
      <x:c r="H257" s="15" t="str">
        <x:v>B</x:v>
      </x:c>
      <x:c r="I257" s="15" t="str">
        <x:v>18、19</x:v>
      </x:c>
      <x:c r="J257" s="15" t="str">
        <x:v>回忆版（可能不完整）</x:v>
      </x:c>
      <x:c r="K257" s="22" t="str">
        <x:v>扫描题干摘录，公式与数值做题前核对原PDF。</x:v>
      </x:c>
    </x:row>
    <x:row r="258" ht="66" customHeight="1">
      <x:c r="A258" s="18" t="n">
        <x:v>2010</x:v>
      </x:c>
      <x:c r="B258" s="19" t="str">
        <x:v>2010年 六、计算</x:v>
      </x:c>
      <x:c r="C258" s="19" t="str">
        <x:v>计算</x:v>
      </x:c>
      <x:c r="D258" s="20" t="n">
        <x:v>28</x:v>
      </x:c>
      <x:c r="E258" s="15" t="str">
        <x:v>逐板计算、理论板与板效率</x:v>
      </x:c>
      <x:c r="F258" s="15" t="str">
        <x:v>|D3|D2|D1|</x:v>
      </x:c>
      <x:c r="G258" s="21" t="str">
        <x:v>一个常压连续精馏塔分离苯和甲苯混合物。精馏塔塔项第一块板上升蒸气的组成 为y= 0.94(苯的摩尔分率),如下图。在分凝器中蒸气量的2/3冷凝成饱和液体做 回流液。末冷凝部分的饱和蒸气送入下一冷凝器全部冷凝为塔顶产品。操作条件 下，苯-甲苯混合物的相对挥发度为 求：（1）塔顶产品组成（xD）回流液组成（xo）; (2)第二块理论板的上升气组成（y2)。</x:v>
      </x:c>
      <x:c r="H258" s="15" t="str">
        <x:v>B</x:v>
      </x:c>
      <x:c r="I258" s="15" t="str">
        <x:v>19</x:v>
      </x:c>
      <x:c r="J258" s="15" t="str">
        <x:v>回忆版（可能不完整）</x:v>
      </x:c>
      <x:c r="K258" s="22" t="str">
        <x:v>扫描题干摘录，公式与数值做题前核对原PDF。</x:v>
      </x:c>
    </x:row>
    <x:row r="259" ht="66" customHeight="1">
      <x:c r="A259" s="18" t="n">
        <x:v>2021</x:v>
      </x:c>
      <x:c r="B259" s="19" t="str">
        <x:v>2021年 一、填空第1题</x:v>
      </x:c>
      <x:c r="C259" s="19" t="str">
        <x:v>填空</x:v>
      </x:c>
      <x:c r="D259" s="20"/>
      <x:c r="E259" s="15" t="str">
        <x:v>黏性、Re、流型与管路阻力</x:v>
      </x:c>
      <x:c r="F259" s="15" t="str">
        <x:v>|F3|</x:v>
      </x:c>
      <x:c r="G259" s="21" t="str">
        <x:v>流体在圆直管内流动，当Re≥4000时的流型称为 其平均速度与最大 流速的关系为 :而Re≤2000的流型称为 ，其平均速度与最大流速 的关系为</x:v>
      </x:c>
      <x:c r="H259" s="15" t="str">
        <x:v>B</x:v>
      </x:c>
      <x:c r="I259" s="15" t="str">
        <x:v>65</x:v>
      </x:c>
      <x:c r="J259" s="15" t="str">
        <x:v>回忆版（可能不完整）</x:v>
      </x:c>
      <x:c r="K259" s="22" t="str">
        <x:v>扫描题干摘录，公式与数值做题前核对原PDF。</x:v>
      </x:c>
    </x:row>
    <x:row r="260" ht="66" customHeight="1">
      <x:c r="A260" s="18" t="n">
        <x:v>2021</x:v>
      </x:c>
      <x:c r="B260" s="19" t="str">
        <x:v>2021年 一、填空第2题</x:v>
      </x:c>
      <x:c r="C260" s="19" t="str">
        <x:v>填空</x:v>
      </x:c>
      <x:c r="D260" s="20"/>
      <x:c r="E260" s="15" t="str">
        <x:v>黏性、Re、流型与管路阻力</x:v>
      </x:c>
      <x:c r="F260" s="15" t="str">
        <x:v>|F3|</x:v>
      </x:c>
      <x:c r="G260" s="21" t="str">
        <x:v>流体在圆形管道中作层流流动，如果只将流速增加一倍，则阻力损失为原来的 倍；如果只将管径增加一倍，流 不变，则阻力损失为原来的 倍。</x:v>
      </x:c>
      <x:c r="H260" s="15" t="str">
        <x:v>B</x:v>
      </x:c>
      <x:c r="I260" s="15" t="str">
        <x:v>65</x:v>
      </x:c>
      <x:c r="J260" s="15" t="str">
        <x:v>回忆版（可能不完整）</x:v>
      </x:c>
      <x:c r="K260" s="22" t="str">
        <x:v>扫描题干摘录，公式与数值做题前核对原PDF。</x:v>
      </x:c>
    </x:row>
    <x:row r="261" ht="66" customHeight="1">
      <x:c r="A261" s="18" t="n">
        <x:v>2021</x:v>
      </x:c>
      <x:c r="B261" s="19" t="str">
        <x:v>2021年 一、填空第3题</x:v>
      </x:c>
      <x:c r="C261" s="19" t="str">
        <x:v>填空</x:v>
      </x:c>
      <x:c r="D261" s="20"/>
      <x:c r="E261" s="15" t="str">
        <x:v>泵特性、工作点、调节与功率</x:v>
      </x:c>
      <x:c r="F261" s="15" t="str">
        <x:v>|P1|</x:v>
      </x:c>
      <x:c r="G261" s="21" t="str">
        <x:v>离心泵的主要参数有：</x:v>
      </x:c>
      <x:c r="H261" s="15" t="str">
        <x:v>B</x:v>
      </x:c>
      <x:c r="I261" s="15" t="str">
        <x:v>65</x:v>
      </x:c>
      <x:c r="J261" s="15" t="str">
        <x:v>回忆版（可能不完整）</x:v>
      </x:c>
      <x:c r="K261" s="22" t="str">
        <x:v>扫描题干摘录，公式与数值做题前核对原PDF。</x:v>
      </x:c>
    </x:row>
    <x:row r="262" ht="66" customHeight="1">
      <x:c r="A262" s="18" t="n">
        <x:v>2021</x:v>
      </x:c>
      <x:c r="B262" s="19" t="str">
        <x:v>2021年 一、填空第4题</x:v>
      </x:c>
      <x:c r="C262" s="19" t="str">
        <x:v>填空</x:v>
      </x:c>
      <x:c r="D262" s="20"/>
      <x:c r="E262" s="15" t="str">
        <x:v>泵特性、工作点、调节与功率</x:v>
      </x:c>
      <x:c r="F262" s="15" t="str">
        <x:v>|P1|</x:v>
      </x:c>
      <x:c r="G262" s="21" t="str">
        <x:v>离心泵的流量调节阀安装在离心泵 管路上，关小出口阀门后，真空表的读 数 压力表的读数</x:v>
      </x:c>
      <x:c r="H262" s="15" t="str">
        <x:v>B</x:v>
      </x:c>
      <x:c r="I262" s="15" t="str">
        <x:v>65</x:v>
      </x:c>
      <x:c r="J262" s="15" t="str">
        <x:v>回忆版（可能不完整）</x:v>
      </x:c>
      <x:c r="K262" s="22" t="str">
        <x:v>扫描题干摘录，公式与数值做题前核对原PDF。</x:v>
      </x:c>
    </x:row>
    <x:row r="263" ht="66" customHeight="1">
      <x:c r="A263" s="18" t="n">
        <x:v>2021</x:v>
      </x:c>
      <x:c r="B263" s="19" t="str">
        <x:v>2021年 一、填空第5题</x:v>
      </x:c>
      <x:c r="C263" s="19" t="str">
        <x:v>填空</x:v>
      </x:c>
      <x:c r="D263" s="20"/>
      <x:c r="E263" s="15" t="str">
        <x:v>总传热系数、热阻与壁温</x:v>
      </x:c>
      <x:c r="F263" s="15" t="str">
        <x:v>|H3|</x:v>
      </x:c>
      <x:c r="G263" s="21" t="str">
        <x:v>列管换热器中用饱和水蒸汽加热空气。空气走管内，蒸汽走管间，则管壁温 度接近 的温度，总传热系数接近 的对流传热系数。</x:v>
      </x:c>
      <x:c r="H263" s="15" t="str">
        <x:v>B</x:v>
      </x:c>
      <x:c r="I263" s="15" t="str">
        <x:v>65</x:v>
      </x:c>
      <x:c r="J263" s="15" t="str">
        <x:v>回忆版（可能不完整）</x:v>
      </x:c>
      <x:c r="K263" s="22" t="str">
        <x:v>扫描题干摘录，公式与数值做题前核对原PDF。</x:v>
      </x:c>
    </x:row>
    <x:row r="264" ht="66" customHeight="1">
      <x:c r="A264" s="18" t="n">
        <x:v>2021</x:v>
      </x:c>
      <x:c r="B264" s="19" t="str">
        <x:v>2021年 一、填空第6题</x:v>
      </x:c>
      <x:c r="C264" s="19" t="str">
        <x:v>填空</x:v>
      </x:c>
      <x:c r="D264" s="20"/>
      <x:c r="E264" s="15" t="str">
        <x:v>精馏衡算、操作线与进料热状态</x:v>
      </x:c>
      <x:c r="F264" s="15" t="str">
        <x:v>|D2|D4|</x:v>
      </x:c>
      <x:c r="G264" s="21" t="str">
        <x:v>某泡点进料的连续精馏塔，已知其精馏段操作线方程为y = 0.80x + 0.172，提 缩段操作线方程为y=1.3x一0.018，则回流比R= 馏出液组成 xD= ，釜液组成xw=</x:v>
      </x:c>
      <x:c r="H264" s="15" t="str">
        <x:v>B</x:v>
      </x:c>
      <x:c r="I264" s="15" t="str">
        <x:v>65</x:v>
      </x:c>
      <x:c r="J264" s="15" t="str">
        <x:v>回忆版（可能不完整）</x:v>
      </x:c>
      <x:c r="K264" s="22" t="str">
        <x:v>扫描题干摘录，公式与数值做题前核对原PDF。</x:v>
      </x:c>
    </x:row>
    <x:row r="265" ht="66" customHeight="1">
      <x:c r="A265" s="18" t="n">
        <x:v>2021</x:v>
      </x:c>
      <x:c r="B265" s="19" t="str">
        <x:v>2021年 一、填空第7题</x:v>
      </x:c>
      <x:c r="C265" s="19" t="str">
        <x:v>填空</x:v>
      </x:c>
      <x:c r="D265" s="20"/>
      <x:c r="E265" s="15" t="str">
        <x:v>精馏衡算、操作线与进料热状态</x:v>
      </x:c>
      <x:c r="F265" s="15" t="str">
        <x:v>|D2|</x:v>
      </x:c>
      <x:c r="G265" s="21" t="str">
        <x:v>蒸馏操作的分离依据是 实现精馏操作的必要条件包括 和</x:v>
      </x:c>
      <x:c r="H265" s="15" t="str">
        <x:v>B</x:v>
      </x:c>
      <x:c r="I265" s="15" t="str">
        <x:v>65</x:v>
      </x:c>
      <x:c r="J265" s="15" t="str">
        <x:v>回忆版（可能不完整）</x:v>
      </x:c>
      <x:c r="K265" s="22" t="str">
        <x:v>扫描题干摘录，公式与数值做题前核对原PDF。</x:v>
      </x:c>
    </x:row>
    <x:row r="266" ht="66" customHeight="1">
      <x:c r="A266" s="18" t="n">
        <x:v>2021</x:v>
      </x:c>
      <x:c r="B266" s="19" t="str">
        <x:v>2021年 一、填空第8题</x:v>
      </x:c>
      <x:c r="C266" s="19" t="str">
        <x:v>填空</x:v>
      </x:c>
      <x:c r="D266" s="20"/>
      <x:c r="E266" s="15" t="str">
        <x:v>亨利定律、平衡与传质方向</x:v>
      </x:c>
      <x:c r="F266" s="15" t="str">
        <x:v>|A1|</x:v>
      </x:c>
      <x:c r="G266" s="21" t="str">
        <x:v>用相平衡常数m表达的亨利定律表达式为 _。在常压卞，20℃时，氨在 空气中的分压为114mmHg，与之平衡的氨水浓度为15kgNHg/100kgH20，此时 m=</x:v>
      </x:c>
      <x:c r="H266" s="15" t="str">
        <x:v>B</x:v>
      </x:c>
      <x:c r="I266" s="15" t="str">
        <x:v>65</x:v>
      </x:c>
      <x:c r="J266" s="15" t="str">
        <x:v>回忆版（可能不完整）</x:v>
      </x:c>
      <x:c r="K266" s="22" t="str">
        <x:v>扫描题干摘录，公式与数值做题前核对原PDF。</x:v>
      </x:c>
    </x:row>
    <x:row r="267" ht="66" customHeight="1">
      <x:c r="A267" s="18" t="n">
        <x:v>2021</x:v>
      </x:c>
      <x:c r="B267" s="19" t="str">
        <x:v>2021年 一、填空第9题</x:v>
      </x:c>
      <x:c r="C267" s="19" t="str">
        <x:v>填空</x:v>
      </x:c>
      <x:c r="D267" s="20"/>
      <x:c r="E267" s="15" t="str">
        <x:v>双膜理论、控制阻力与传质系数</x:v>
      </x:c>
      <x:c r="F267" s="15" t="str">
        <x:v>|A2|</x:v>
      </x:c>
      <x:c r="G267" s="21" t="str">
        <x:v>对于难溶气体的吸收过程，其主要阻力在 ，其吸收速率由 控制。</x:v>
      </x:c>
      <x:c r="H267" s="15" t="str">
        <x:v>B</x:v>
      </x:c>
      <x:c r="I267" s="15" t="str">
        <x:v>65</x:v>
      </x:c>
      <x:c r="J267" s="15" t="str">
        <x:v>回忆版（可能不完整）</x:v>
      </x:c>
      <x:c r="K267" s="22" t="str">
        <x:v>扫描题干摘录，公式与数值做题前核对原PDF。</x:v>
      </x:c>
    </x:row>
    <x:row r="268" ht="66" customHeight="1">
      <x:c r="A268" s="18" t="n">
        <x:v>2021</x:v>
      </x:c>
      <x:c r="B268" s="19" t="str">
        <x:v>2021年 一、填空第10题</x:v>
      </x:c>
      <x:c r="C268" s="19" t="str">
        <x:v>填空</x:v>
      </x:c>
      <x:c r="D268" s="20"/>
      <x:c r="E268" s="15" t="str">
        <x:v>干燥与湿空气</x:v>
      </x:c>
      <x:c r="F268" s="15" t="str">
        <x:v>|O2|</x:v>
      </x:c>
      <x:c r="G268" s="21" t="str">
        <x:v>若维持不饱和空气的湿度H不变，提高空气的干球温度，则空气的湿球温 度 ，露点 ，相对湿度 （变大，变小，不变，不确定）。</x:v>
      </x:c>
      <x:c r="H268" s="15" t="str">
        <x:v>B</x:v>
      </x:c>
      <x:c r="I268" s="15" t="str">
        <x:v>66</x:v>
      </x:c>
      <x:c r="J268" s="15" t="str">
        <x:v>回忆版（可能不完整）</x:v>
      </x:c>
      <x:c r="K268" s="22" t="str">
        <x:v>扫描题干摘录，公式与数值做题前核对原PDF。</x:v>
      </x:c>
    </x:row>
    <x:row r="269" ht="66" customHeight="1">
      <x:c r="A269" s="18" t="n">
        <x:v>2021</x:v>
      </x:c>
      <x:c r="B269" s="19" t="str">
        <x:v>2021年 一、填空第11题</x:v>
      </x:c>
      <x:c r="C269" s="19" t="str">
        <x:v>填空</x:v>
      </x:c>
      <x:c r="D269" s="20"/>
      <x:c r="E269" s="15" t="str">
        <x:v>干燥与湿空气</x:v>
      </x:c>
      <x:c r="F269" s="15" t="str">
        <x:v>|O2|</x:v>
      </x:c>
      <x:c r="G269" s="21" t="str">
        <x:v>在一定空气状态下干燥某物料，能用干燥方法除去的水分为 ：首先 除去的水分为 ；不能用干燥方法除的水分为</x:v>
      </x:c>
      <x:c r="H269" s="15" t="str">
        <x:v>B</x:v>
      </x:c>
      <x:c r="I269" s="15" t="str">
        <x:v>66</x:v>
      </x:c>
      <x:c r="J269" s="15" t="str">
        <x:v>回忆版（可能不完整）</x:v>
      </x:c>
      <x:c r="K269" s="22" t="str">
        <x:v>扫描题干摘录，公式与数值做题前核对原PDF。</x:v>
      </x:c>
    </x:row>
    <x:row r="270" ht="66" customHeight="1">
      <x:c r="A270" s="18" t="n">
        <x:v>2021</x:v>
      </x:c>
      <x:c r="B270" s="19" t="str">
        <x:v>2021年 二、简答第1题</x:v>
      </x:c>
      <x:c r="C270" s="19" t="str">
        <x:v>简答</x:v>
      </x:c>
      <x:c r="D270" s="20"/>
      <x:c r="E270" s="15" t="str">
        <x:v>精馏衡算、操作线与进料热状态</x:v>
      </x:c>
      <x:c r="F270" s="15" t="str">
        <x:v>|D2|</x:v>
      </x:c>
      <x:c r="G270" s="21" t="str">
        <x:v>恒摩尔流假设的应用条件是什么？有什么好处与作用？</x:v>
      </x:c>
      <x:c r="H270" s="15" t="str">
        <x:v>B</x:v>
      </x:c>
      <x:c r="I270" s="15" t="str">
        <x:v>66</x:v>
      </x:c>
      <x:c r="J270" s="15" t="str">
        <x:v>回忆版（可能不完整）</x:v>
      </x:c>
      <x:c r="K270" s="22" t="str">
        <x:v>扫描题干摘录，公式与数值做题前核对原PDF。</x:v>
      </x:c>
    </x:row>
    <x:row r="271" ht="66" customHeight="1">
      <x:c r="A271" s="18" t="n">
        <x:v>2021</x:v>
      </x:c>
      <x:c r="B271" s="19" t="str">
        <x:v>2021年 二、简答第2题</x:v>
      </x:c>
      <x:c r="C271" s="19" t="str">
        <x:v>简答</x:v>
      </x:c>
      <x:c r="D271" s="20"/>
      <x:c r="E271" s="15" t="str">
        <x:v>板式 / 填料塔、液泛与负荷图</x:v>
      </x:c>
      <x:c r="F271" s="15" t="str">
        <x:v>|T1|</x:v>
      </x:c>
      <x:c r="G271" s="21" t="str">
        <x:v>板式塔与填料塔的气液相接触有什么特点？</x:v>
      </x:c>
      <x:c r="H271" s="15" t="str">
        <x:v>B</x:v>
      </x:c>
      <x:c r="I271" s="15" t="str">
        <x:v>66</x:v>
      </x:c>
      <x:c r="J271" s="15" t="str">
        <x:v>回忆版（可能不完整）</x:v>
      </x:c>
      <x:c r="K271" s="22" t="str">
        <x:v>扫描题干摘录，公式与数值做题前核对原PDF。</x:v>
      </x:c>
    </x:row>
    <x:row r="272" ht="66" customHeight="1">
      <x:c r="A272" s="18" t="n">
        <x:v>2021</x:v>
      </x:c>
      <x:c r="B272" s="19" t="str">
        <x:v>2021年 二、简答第3题</x:v>
      </x:c>
      <x:c r="C272" s="19" t="str">
        <x:v>简答</x:v>
      </x:c>
      <x:c r="D272" s="20"/>
      <x:c r="E272" s="15" t="str">
        <x:v>泵特性、工作点、调节与功率</x:v>
      </x:c>
      <x:c r="F272" s="15" t="str">
        <x:v>|P1|</x:v>
      </x:c>
      <x:c r="G272" s="21" t="str">
        <x:v>往复泵和离心泵的工作原理？为什么调节离心泵的出口阀可以改变流量？</x:v>
      </x:c>
      <x:c r="H272" s="15" t="str">
        <x:v>B</x:v>
      </x:c>
      <x:c r="I272" s="15" t="str">
        <x:v>66</x:v>
      </x:c>
      <x:c r="J272" s="15" t="str">
        <x:v>回忆版（可能不完整）</x:v>
      </x:c>
      <x:c r="K272" s="22" t="str">
        <x:v>扫描题干摘录，公式与数值做题前核对原PDF。</x:v>
      </x:c>
    </x:row>
    <x:row r="273" ht="66" customHeight="1">
      <x:c r="A273" s="18" t="n">
        <x:v>2021</x:v>
      </x:c>
      <x:c r="B273" s="19" t="str">
        <x:v>2021年 二、简答第4题</x:v>
      </x:c>
      <x:c r="C273" s="19" t="str">
        <x:v>简答</x:v>
      </x:c>
      <x:c r="D273" s="20"/>
      <x:c r="E273" s="15" t="str">
        <x:v>导热、保温与临界直径</x:v>
      </x:c>
      <x:c r="F273" s="15" t="str">
        <x:v>|H1|</x:v>
      </x:c>
      <x:c r="G273" s="21" t="str">
        <x:v>为什么羽绒服保温效果比棉衣好？</x:v>
      </x:c>
      <x:c r="H273" s="15" t="str">
        <x:v>B</x:v>
      </x:c>
      <x:c r="I273" s="15" t="str">
        <x:v>66</x:v>
      </x:c>
      <x:c r="J273" s="15" t="str">
        <x:v>回忆版（可能不完整）</x:v>
      </x:c>
      <x:c r="K273" s="22" t="str">
        <x:v>扫描题干摘录，公式与数值做题前核对原PDF。</x:v>
      </x:c>
    </x:row>
    <x:row r="274" ht="66" customHeight="1">
      <x:c r="A274" s="18" t="n">
        <x:v>2021</x:v>
      </x:c>
      <x:c r="B274" s="19" t="str">
        <x:v>2021年 三、计算第1题</x:v>
      </x:c>
      <x:c r="C274" s="19" t="str">
        <x:v>计算</x:v>
      </x:c>
      <x:c r="D274" s="20"/>
      <x:c r="E274" s="15" t="str">
        <x:v>泵特性、工作点、调节与功率</x:v>
      </x:c>
      <x:c r="F274" s="15" t="str">
        <x:v>|P1|F2|F3|P2|</x:v>
      </x:c>
      <x:c r="G274" s="21" t="str">
        <x:v>如图所示，在20℃常压下用离心泵将水从低位槽输送到高位槽，吸入管路长 20m，排出管路长50m，管路规格均为Φ55×2:5mm，水流量为18m/h，水的密 度为960kg/m²，摩擦系数1为0.023，饱和蒸汽压为2.35kPa，求; （1）现有一台规格为Q=20m2/n、H= 44m的离心泵，该离心泵是否适用于该 管路？ （2）已知最小汽蚀余量为2.3m，泵安装在液面以上9m，该安装方式是否合适？ 21m</x:v>
      </x:c>
      <x:c r="H274" s="15" t="str">
        <x:v>B</x:v>
      </x:c>
      <x:c r="I274" s="15" t="str">
        <x:v>66</x:v>
      </x:c>
      <x:c r="J274" s="15" t="str">
        <x:v>回忆版（可能不完整）</x:v>
      </x:c>
      <x:c r="K274" s="22" t="str">
        <x:v>扫描题干摘录，公式与数值做题前核对原PDF。</x:v>
      </x:c>
    </x:row>
    <x:row r="275" ht="66" customHeight="1">
      <x:c r="A275" s="18" t="n">
        <x:v>2021</x:v>
      </x:c>
      <x:c r="B275" s="19" t="str">
        <x:v>2021年 三、计算第2题</x:v>
      </x:c>
      <x:c r="C275" s="19" t="str">
        <x:v>计算</x:v>
      </x:c>
      <x:c r="D275" s="20"/>
      <x:c r="E275" s="15" t="str">
        <x:v>换热器设计、校核与操作计算</x:v>
      </x:c>
      <x:c r="F275" s="15" t="str">
        <x:v>|H4|H2|H3|</x:v>
      </x:c>
      <x:c r="G275" s="21" t="str">
        <x:v>有一套管换热器,由p57 mm× 3.5 mm与cp89 mm× 4.5 mm的钢管组成。 甲 醇在内管流动，流量为5000kg/h，由60°℃冷却到、30°C,甲醇侧的对流给热系 数α2=1512W/（m？·C)。冷却水在环隙中流动，其入口温度为20°℃,出口温 度拟定为35°℃。忽略热损失、管壁及污垢热阻，且已知甲醇的平均热容为 2.6.kJ/(kg.C),在定性温度下水的粘度为0.84mPa·S：导热系数为 0.6IW/（m·C)，热容为4.174kj/(kg·C).试求： （1）冷却水的用量； （2）所需套管长度； (3)若将换热器的内管改为p48mmx.3mm的钢管，其他条件不变，求此时所 需的套管长度。</x:v>
      </x:c>
      <x:c r="H275" s="15" t="str">
        <x:v>B</x:v>
      </x:c>
      <x:c r="I275" s="15" t="str">
        <x:v>66、67</x:v>
      </x:c>
      <x:c r="J275" s="15" t="str">
        <x:v>回忆版（可能不完整）</x:v>
      </x:c>
      <x:c r="K275" s="22" t="str">
        <x:v>扫描题干摘录，公式与数值做题前核对原PDF。</x:v>
      </x:c>
    </x:row>
    <x:row r="276" ht="66" customHeight="1">
      <x:c r="A276" s="18" t="n">
        <x:v>2021</x:v>
      </x:c>
      <x:c r="B276" s="19" t="str">
        <x:v>2021年 三、计算第3题</x:v>
      </x:c>
      <x:c r="C276" s="19" t="str">
        <x:v>计算</x:v>
      </x:c>
      <x:c r="D276" s="20"/>
      <x:c r="E276" s="15" t="str">
        <x:v>过滤方程与过滤常数</x:v>
      </x:c>
      <x:c r="F276" s="15" t="str">
        <x:v>|S3|S4|</x:v>
      </x:c>
      <x:c r="G276" s="21" t="str">
        <x:v>采用恒压过滤过滤某悬浮液，已知1:6h后获得滤液25m3，滤布阻力.忽略不 （1）若S=0.3，压力提高一倍：：1.6h后获得滤液体积为多少？ （2）.其他条件不变，时间缩短一半，1.6h后获得滤液体积为多少？ （3）在原压力下，洗涤滤饼用水量为3m3，洗涤时间为多少？</x:v>
      </x:c>
      <x:c r="H276" s="15" t="str">
        <x:v>B</x:v>
      </x:c>
      <x:c r="I276" s="15" t="str">
        <x:v>67</x:v>
      </x:c>
      <x:c r="J276" s="15" t="str">
        <x:v>回忆版（可能不完整）</x:v>
      </x:c>
      <x:c r="K276" s="22" t="str">
        <x:v>扫描题干摘录，公式与数值做题前核对原PDF。</x:v>
      </x:c>
    </x:row>
    <x:row r="277" ht="66" customHeight="1">
      <x:c r="A277" s="18" t="n">
        <x:v>2021</x:v>
      </x:c>
      <x:c r="B277" s="19" t="str">
        <x:v>2021年 三、计算第4题</x:v>
      </x:c>
      <x:c r="C277" s="19" t="str">
        <x:v>计算</x:v>
      </x:c>
      <x:c r="D277" s="20"/>
      <x:c r="E277" s="15" t="str">
        <x:v>传质单元、填料高度与理论级</x:v>
      </x:c>
      <x:c r="F277" s="15" t="str">
        <x:v>|A4|A3|</x:v>
      </x:c>
      <x:c r="G277" s="21" t="str">
        <x:v>如图所示，有一填料吸收塔，在20℃，101.3kPa的条件下，用清水吸收1200m3/h 的氨一空气混合气中的氨，氨的摩尔分数为：0.05：吸收率为.0.96。填料塔直径为 0.8,Kya=38.5kmol/h,S=0.56. （1）求填料层高度 （2）若x=0.001，求吸收剂用量 Xb.L</x:v>
      </x:c>
      <x:c r="H277" s="15" t="str">
        <x:v>B</x:v>
      </x:c>
      <x:c r="I277" s="15" t="str">
        <x:v>67</x:v>
      </x:c>
      <x:c r="J277" s="15" t="str">
        <x:v>回忆版（可能不完整）</x:v>
      </x:c>
      <x:c r="K277" s="22" t="str">
        <x:v>扫描题干摘录，公式与数值做题前核对原PDF。</x:v>
      </x:c>
    </x:row>
    <x:row r="278" ht="66" customHeight="1">
      <x:c r="A278" s="18" t="n">
        <x:v>2021</x:v>
      </x:c>
      <x:c r="B278" s="19" t="str">
        <x:v>2021年 三、计算第5题</x:v>
      </x:c>
      <x:c r="C278" s="19" t="str">
        <x:v>计算</x:v>
      </x:c>
      <x:c r="D278" s="20"/>
      <x:c r="E278" s="15" t="str">
        <x:v>精馏衡算、操作线与进料热状态</x:v>
      </x:c>
      <x:c r="F278" s="15" t="str">
        <x:v>|D2|D4|D3|D1|</x:v>
      </x:c>
      <x:c r="G278" s="21" t="str">
        <x:v>在连续精馏塔内分离某二元理想溶液，已知进料组成为0.65，饱和液体进料 时，进料量为120kmol/h。塔顶产品组成为0.93，塔底轻组分浓度为0.05，平均 相对挥发度为2.45，塔顶回流液体量为122.4kmol/h。 （1）求塔顶采出率和塔釜难挥发组分的回收率。 （2）最小回流比与设计回流比比值。 （3）精馏段操作方程。 （4）求第二块理论板气相组成。</x:v>
      </x:c>
      <x:c r="H278" s="15" t="str">
        <x:v>B</x:v>
      </x:c>
      <x:c r="I278" s="15" t="str">
        <x:v>67、68</x:v>
      </x:c>
      <x:c r="J278" s="15" t="str">
        <x:v>回忆版（可能不完整）</x:v>
      </x:c>
      <x:c r="K278" s="22" t="str">
        <x:v>扫描题干摘录，公式与数值做题前核对原PDF。</x:v>
      </x:c>
    </x:row>
    <x:row r="279" ht="66" customHeight="1">
      <x:c r="A279" s="18" t="n">
        <x:v>2022</x:v>
      </x:c>
      <x:c r="B279" s="19" t="str">
        <x:v>2022年 一、填空第1题</x:v>
      </x:c>
      <x:c r="C279" s="19" t="str">
        <x:v>填空</x:v>
      </x:c>
      <x:c r="D279" s="20"/>
      <x:c r="E279" s="15" t="str">
        <x:v>连续性、伯努利与管路计算</x:v>
      </x:c>
      <x:c r="F279" s="15" t="str">
        <x:v>|F2|</x:v>
      </x:c>
      <x:c r="G279" s="21" t="str">
        <x:v>液体在两截面间的管道内流动，其流动方向是：</x:v>
      </x:c>
      <x:c r="H279" s="15" t="str">
        <x:v>C</x:v>
      </x:c>
      <x:c r="I279" s="15" t="str">
        <x:v>10</x:v>
      </x:c>
      <x:c r="J279" s="15" t="str">
        <x:v>汇编题卷（未核实官方原卷）</x:v>
      </x:c>
      <x:c r="K279" s="22" t="str">
        <x:v>扫描题干摘录，公式与数值做题前核对原PDF。</x:v>
      </x:c>
    </x:row>
    <x:row r="280" ht="66" customHeight="1">
      <x:c r="A280" s="18" t="n">
        <x:v>2022</x:v>
      </x:c>
      <x:c r="B280" s="19" t="str">
        <x:v>2022年 一、填空第2题</x:v>
      </x:c>
      <x:c r="C280" s="19" t="str">
        <x:v>填空</x:v>
      </x:c>
      <x:c r="D280" s="20"/>
      <x:c r="E280" s="15" t="str">
        <x:v>边界层与因次分析</x:v>
      </x:c>
      <x:c r="F280" s="15" t="str">
        <x:v>|F4|</x:v>
      </x:c>
      <x:c r="G280" s="21" t="str">
        <x:v>因次分析法的目的有：</x:v>
      </x:c>
      <x:c r="H280" s="15" t="str">
        <x:v>C</x:v>
      </x:c>
      <x:c r="I280" s="15" t="str">
        <x:v>10</x:v>
      </x:c>
      <x:c r="J280" s="15" t="str">
        <x:v>汇编题卷（未核实官方原卷）</x:v>
      </x:c>
      <x:c r="K280" s="22" t="str">
        <x:v>扫描题干摘录，公式与数值做题前核对原PDF。</x:v>
      </x:c>
    </x:row>
    <x:row r="281" ht="66" customHeight="1">
      <x:c r="A281" s="18" t="n">
        <x:v>2022</x:v>
      </x:c>
      <x:c r="B281" s="19" t="str">
        <x:v>2022年 一、填空第3题</x:v>
      </x:c>
      <x:c r="C281" s="19" t="str">
        <x:v>填空</x:v>
      </x:c>
      <x:c r="D281" s="20"/>
      <x:c r="E281" s="15" t="str">
        <x:v>黏性、Re、流型与管路阻力</x:v>
      </x:c>
      <x:c r="F281" s="15" t="str">
        <x:v>|F3|</x:v>
      </x:c>
      <x:c r="G281" s="21" t="str">
        <x:v>有人希望使管壁光滑些，于是在管道内壁涂 层石蜡，倘若输送任务不变，且 流体呈层流流动，流动的阻力将会</x:v>
      </x:c>
      <x:c r="H281" s="15" t="str">
        <x:v>C</x:v>
      </x:c>
      <x:c r="I281" s="15" t="str">
        <x:v>10</x:v>
      </x:c>
      <x:c r="J281" s="15" t="str">
        <x:v>汇编题卷（未核实官方原卷）</x:v>
      </x:c>
      <x:c r="K281" s="22" t="str">
        <x:v>扫描题干摘录，公式与数值做题前核对原PDF。</x:v>
      </x:c>
    </x:row>
    <x:row r="282" ht="66" customHeight="1">
      <x:c r="A282" s="18" t="n">
        <x:v>2022</x:v>
      </x:c>
      <x:c r="B282" s="19" t="str">
        <x:v>2022年 一、填空第4题</x:v>
      </x:c>
      <x:c r="C282" s="19" t="str">
        <x:v>填空</x:v>
      </x:c>
      <x:c r="D282" s="20"/>
      <x:c r="E282" s="15" t="str">
        <x:v>汽蚀、气缚、安装与开停</x:v>
      </x:c>
      <x:c r="F282" s="15" t="str">
        <x:v>|P2|</x:v>
      </x:c>
      <x:c r="G282" s="21" t="str">
        <x:v>在测定离心泵特性曲线的实验中参启动泵后，出水管不出水，泵进口处真空表指 示真空度很高，你认为可能的原是</x:v>
      </x:c>
      <x:c r="H282" s="15" t="str">
        <x:v>C</x:v>
      </x:c>
      <x:c r="I282" s="15" t="str">
        <x:v>10</x:v>
      </x:c>
      <x:c r="J282" s="15" t="str">
        <x:v>汇编题卷（未核实官方原卷）</x:v>
      </x:c>
      <x:c r="K282" s="22" t="str">
        <x:v>扫描题干摘录，公式与数值做题前核对原PDF。</x:v>
      </x:c>
    </x:row>
    <x:row r="283" ht="66" customHeight="1">
      <x:c r="A283" s="18" t="n">
        <x:v>2022</x:v>
      </x:c>
      <x:c r="B283" s="19" t="str">
        <x:v>2022年 一、填空第5题</x:v>
      </x:c>
      <x:c r="C283" s="19" t="str">
        <x:v>填空</x:v>
      </x:c>
      <x:c r="D283" s="20"/>
      <x:c r="E283" s="15" t="str">
        <x:v>泵特性、工作点、调节与功率</x:v>
      </x:c>
      <x:c r="F283" s="15" t="str">
        <x:v>|P1|</x:v>
      </x:c>
      <x:c r="G283" s="21" t="str">
        <x:v>化工过程中常用的泵有 离心泵；b.往复泵；c.齿轮泵；d.螺杆泵。其中属正位 移泵的是</x:v>
      </x:c>
      <x:c r="H283" s="15" t="str">
        <x:v>C</x:v>
      </x:c>
      <x:c r="I283" s="15" t="str">
        <x:v>10</x:v>
      </x:c>
      <x:c r="J283" s="15" t="str">
        <x:v>汇编题卷（未核实官方原卷）</x:v>
      </x:c>
      <x:c r="K283" s="22" t="str">
        <x:v>扫描题干摘录，公式与数值做题前核对原PDF。</x:v>
      </x:c>
    </x:row>
    <x:row r="284" ht="66" customHeight="1">
      <x:c r="A284" s="18" t="n">
        <x:v>2022</x:v>
      </x:c>
      <x:c r="B284" s="19" t="str">
        <x:v>2022年 一、填空第6题</x:v>
      </x:c>
      <x:c r="C284" s="19" t="str">
        <x:v>填空</x:v>
      </x:c>
      <x:c r="D284" s="20"/>
      <x:c r="E284" s="15" t="str">
        <x:v>过滤方程与过滤常数</x:v>
      </x:c>
      <x:c r="F284" s="15" t="str">
        <x:v>|S3|</x:v>
      </x:c>
      <x:c r="G284" s="21" t="str">
        <x:v>用板框式过滤机进行恒压过滤，若介质阻力可忽略不计，过滤20min可得滤液8m3， 若再过滤20min可再得滤液 m3。</x:v>
      </x:c>
      <x:c r="H284" s="15" t="str">
        <x:v>C</x:v>
      </x:c>
      <x:c r="I284" s="15" t="str">
        <x:v>10</x:v>
      </x:c>
      <x:c r="J284" s="15" t="str">
        <x:v>汇编题卷（未核实官方原卷）</x:v>
      </x:c>
      <x:c r="K284" s="22" t="str">
        <x:v>扫描题干摘录，公式与数值做题前核对原PDF。</x:v>
      </x:c>
    </x:row>
    <x:row r="285" ht="66" customHeight="1">
      <x:c r="A285" s="18" t="n">
        <x:v>2022</x:v>
      </x:c>
      <x:c r="B285" s="19" t="str">
        <x:v>2022年 一、填空第7题</x:v>
      </x:c>
      <x:c r="C285" s="19" t="str">
        <x:v>填空</x:v>
      </x:c>
      <x:c r="D285" s="20"/>
      <x:c r="E285" s="15" t="str">
        <x:v>颗粒粒径、沉降与降尘室</x:v>
      </x:c>
      <x:c r="F285" s="15" t="str">
        <x:v>|S1|</x:v>
      </x:c>
      <x:c r="G285" s="21" t="str">
        <x:v>颗粒沉降分 阶段和 阶段。一球形小颗粒在水中按斯托克斯定律沉 降。若水温由20℃上升至50℃，则u</x:v>
      </x:c>
      <x:c r="H285" s="15" t="str">
        <x:v>C</x:v>
      </x:c>
      <x:c r="I285" s="15" t="str">
        <x:v>10</x:v>
      </x:c>
      <x:c r="J285" s="15" t="str">
        <x:v>汇编题卷（未核实官方原卷）</x:v>
      </x:c>
      <x:c r="K285" s="22" t="str">
        <x:v>扫描题干摘录，公式与数值做题前核对原PDF。</x:v>
      </x:c>
    </x:row>
    <x:row r="286" ht="66" customHeight="1">
      <x:c r="A286" s="18" t="n">
        <x:v>2022</x:v>
      </x:c>
      <x:c r="B286" s="19" t="str">
        <x:v>2022年 一、填空第8题</x:v>
      </x:c>
      <x:c r="C286" s="19" t="str">
        <x:v>填空</x:v>
      </x:c>
      <x:c r="D286" s="20"/>
      <x:c r="E286" s="15" t="str">
        <x:v>沸腾与冷凝传热</x:v>
      </x:c>
      <x:c r="F286" s="15" t="str">
        <x:v>|H6|</x:v>
      </x:c>
      <x:c r="G286" s="21" t="str">
        <x:v>沸腾给热的强化可以从 和 方面着手。</x:v>
      </x:c>
      <x:c r="H286" s="15" t="str">
        <x:v>C</x:v>
      </x:c>
      <x:c r="I286" s="15" t="str">
        <x:v>10</x:v>
      </x:c>
      <x:c r="J286" s="15" t="str">
        <x:v>汇编题卷（未核实官方原卷）</x:v>
      </x:c>
      <x:c r="K286" s="22" t="str">
        <x:v>扫描题干摘录，公式与数值做题前核对原PDF。</x:v>
      </x:c>
    </x:row>
    <x:row r="287" ht="66" customHeight="1">
      <x:c r="A287" s="18" t="n">
        <x:v>2022</x:v>
      </x:c>
      <x:c r="B287" s="19" t="str">
        <x:v>2022年 一、填空第9题</x:v>
      </x:c>
      <x:c r="C287" s="19" t="str">
        <x:v>填空</x:v>
      </x:c>
      <x:c r="D287" s="20"/>
      <x:c r="E287" s="15" t="str">
        <x:v>换热器设计、校核与操作计算</x:v>
      </x:c>
      <x:c r="F287" s="15" t="str">
        <x:v>|H4|</x:v>
      </x:c>
      <x:c r="G287" s="21" t="str">
        <x:v>用饱和蒸汽加热冷流体（冷流体无相变），若保持加热蒸汽压强和冷流体t不变， 而增加冷流体流量，则t2 Q</x:v>
      </x:c>
      <x:c r="H287" s="15" t="str">
        <x:v>C</x:v>
      </x:c>
      <x:c r="I287" s="15" t="str">
        <x:v>10</x:v>
      </x:c>
      <x:c r="J287" s="15" t="str">
        <x:v>汇编题卷（未核实官方原卷）</x:v>
      </x:c>
      <x:c r="K287" s="22" t="str">
        <x:v>扫描题干摘录，公式与数值做题前核对原PDF。</x:v>
      </x:c>
    </x:row>
    <x:row r="288" ht="66" customHeight="1">
      <x:c r="A288" s="18" t="n">
        <x:v>2022</x:v>
      </x:c>
      <x:c r="B288" s="19" t="str">
        <x:v>2022年 一、填空第10题</x:v>
      </x:c>
      <x:c r="C288" s="19" t="str">
        <x:v>填空</x:v>
      </x:c>
      <x:c r="D288" s="20"/>
      <x:c r="E288" s="15" t="str">
        <x:v>换热器设计、校核与操作计算</x:v>
      </x:c>
      <x:c r="F288" s="15" t="str">
        <x:v>|H4|H2|</x:v>
      </x:c>
      <x:c r="G288" s="21" t="str">
        <x:v>某套管换热器，管间用饱和水蒸气强制湍流流动的空气加热至指定温度，若需进 一步提高空气出口温度，拟将加热管管径增加1倍（管长、流动状态及其他条件均不 变)，你认为此法是否可行？</x:v>
      </x:c>
      <x:c r="H288" s="15" t="str">
        <x:v>C</x:v>
      </x:c>
      <x:c r="I288" s="15" t="str">
        <x:v>10</x:v>
      </x:c>
      <x:c r="J288" s="15" t="str">
        <x:v>汇编题卷（未核实官方原卷）</x:v>
      </x:c>
      <x:c r="K288" s="22" t="str">
        <x:v>扫描题干摘录，公式与数值做题前核对原PDF。</x:v>
      </x:c>
    </x:row>
    <x:row r="289" ht="66" customHeight="1">
      <x:c r="A289" s="18" t="n">
        <x:v>2022</x:v>
      </x:c>
      <x:c r="B289" s="19" t="str">
        <x:v>2022年 一、填空第11题</x:v>
      </x:c>
      <x:c r="C289" s="19" t="str">
        <x:v>填空</x:v>
      </x:c>
      <x:c r="D289" s="20"/>
      <x:c r="E289" s="15" t="str">
        <x:v>热辐射</x:v>
      </x:c>
      <x:c r="F289" s="15" t="str">
        <x:v>|O1|</x:v>
      </x:c>
      <x:c r="G289" s="21" t="str">
        <x:v>*斯蒂芬-玻尔兹曼定律反映了 和温度之间的关系。</x:v>
      </x:c>
      <x:c r="H289" s="15" t="str">
        <x:v>C</x:v>
      </x:c>
      <x:c r="I289" s="15" t="str">
        <x:v>11</x:v>
      </x:c>
      <x:c r="J289" s="15" t="str">
        <x:v>汇编题卷（未核实官方原卷）</x:v>
      </x:c>
      <x:c r="K289" s="22" t="str">
        <x:v>扫描题干摘录，公式与数值做题前核对原PDF。</x:v>
      </x:c>
    </x:row>
    <x:row r="290" ht="66" customHeight="1">
      <x:c r="A290" s="18" t="n">
        <x:v>2022</x:v>
      </x:c>
      <x:c r="B290" s="19" t="str">
        <x:v>2022年 一、填空第12题</x:v>
      </x:c>
      <x:c r="C290" s="19" t="str">
        <x:v>填空</x:v>
      </x:c>
      <x:c r="D290" s="20"/>
      <x:c r="E290" s="15" t="str">
        <x:v>传质单元、填料高度与理论级</x:v>
      </x:c>
      <x:c r="F290" s="15" t="str">
        <x:v>|A4|</x:v>
      </x:c>
      <x:c r="G290" s="21" t="str">
        <x:v>在填料吸收塔的计算中，表示传质分离任务难易程度的一个量是 ，而表 示设备传质效能高低的一个量是</x:v>
      </x:c>
      <x:c r="H290" s="15" t="str">
        <x:v>C</x:v>
      </x:c>
      <x:c r="I290" s="15" t="str">
        <x:v>11</x:v>
      </x:c>
      <x:c r="J290" s="15" t="str">
        <x:v>汇编题卷（未核实官方原卷）</x:v>
      </x:c>
      <x:c r="K290" s="22" t="str">
        <x:v>扫描题干摘录，公式与数值做题前核对原PDF。</x:v>
      </x:c>
    </x:row>
    <x:row r="291" ht="66" customHeight="1">
      <x:c r="A291" s="18" t="n">
        <x:v>2022</x:v>
      </x:c>
      <x:c r="B291" s="19" t="str">
        <x:v>2022年 一、填空第13题</x:v>
      </x:c>
      <x:c r="C291" s="19" t="str">
        <x:v>填空</x:v>
      </x:c>
      <x:c r="D291" s="20"/>
      <x:c r="E291" s="15" t="str">
        <x:v>双膜理论、控制阻力与传质系数</x:v>
      </x:c>
      <x:c r="F291" s="15" t="str">
        <x:v>|A2|</x:v>
      </x:c>
      <x:c r="G291" s="21" t="str">
        <x:v>对某低浓度气体吸收过程，已知相平衡常数m=2，气、液两相的体积传质系数分 别为Kya=0.2kmol/（m3·s），Kxa=4x10-4kmol/（m²·s）。则该吸收过程为 阻 力控制。（气膜、液膜、气液双膜、无法确定）</x:v>
      </x:c>
      <x:c r="H291" s="15" t="str">
        <x:v>C</x:v>
      </x:c>
      <x:c r="I291" s="15" t="str">
        <x:v>11</x:v>
      </x:c>
      <x:c r="J291" s="15" t="str">
        <x:v>汇编题卷（未核实官方原卷）</x:v>
      </x:c>
      <x:c r="K291" s="22" t="str">
        <x:v>扫描题干摘录，公式与数值做题前核对原PDF。</x:v>
      </x:c>
    </x:row>
    <x:row r="292" ht="66" customHeight="1">
      <x:c r="A292" s="18" t="n">
        <x:v>2022</x:v>
      </x:c>
      <x:c r="B292" s="19" t="str">
        <x:v>2022年 一、填空第14题</x:v>
      </x:c>
      <x:c r="C292" s="19" t="str">
        <x:v>填空</x:v>
      </x:c>
      <x:c r="D292" s="20"/>
      <x:c r="E292" s="15" t="str">
        <x:v>传质单元、填料高度与理论级</x:v>
      </x:c>
      <x:c r="F292" s="15" t="str">
        <x:v>|A4|</x:v>
      </x:c>
      <x:c r="G292" s="21" t="str">
        <x:v>对逆流吸收系统，若脱吸收因数S=1，则气相总传质单元数NoG 理论板 数NT，若脱吸因数S&gt;1，则NoG NT。（大于、小于、等于)</x:v>
      </x:c>
      <x:c r="H292" s="15" t="str">
        <x:v>C</x:v>
      </x:c>
      <x:c r="I292" s="15" t="str">
        <x:v>11</x:v>
      </x:c>
      <x:c r="J292" s="15" t="str">
        <x:v>汇编题卷（未核实官方原卷）</x:v>
      </x:c>
      <x:c r="K292" s="22" t="str">
        <x:v>扫描题干摘录，公式与数值做题前核对原PDF。</x:v>
      </x:c>
    </x:row>
    <x:row r="293" ht="66" customHeight="1">
      <x:c r="A293" s="18" t="n">
        <x:v>2022</x:v>
      </x:c>
      <x:c r="B293" s="19" t="str">
        <x:v>2022年 一、填空第15题</x:v>
      </x:c>
      <x:c r="C293" s="19" t="str">
        <x:v>填空</x:v>
      </x:c>
      <x:c r="D293" s="20"/>
      <x:c r="E293" s="15" t="str">
        <x:v>吸收 / 解吸的操作变化与强化</x:v>
      </x:c>
      <x:c r="F293" s="15" t="str">
        <x:v>|A5|</x:v>
      </x:c>
      <x:c r="G293" s="21" t="str">
        <x:v>操作中的吸收塔，当其他操作条件不变，仅降低吸收剂入塔浓度 则吸收率将 ；又当用清水作吸收剂时，其他操作条件不变，仅降低入塔气体浓度，则吸 收率将</x:v>
      </x:c>
      <x:c r="H293" s="15" t="str">
        <x:v>C</x:v>
      </x:c>
      <x:c r="I293" s="15" t="str">
        <x:v>11</x:v>
      </x:c>
      <x:c r="J293" s="15" t="str">
        <x:v>汇编题卷（未核实官方原卷）</x:v>
      </x:c>
      <x:c r="K293" s="22" t="str">
        <x:v>扫描题干摘录，公式与数值做题前核对原PDF。</x:v>
      </x:c>
    </x:row>
    <x:row r="294" ht="66" customHeight="1">
      <x:c r="A294" s="18" t="n">
        <x:v>2022</x:v>
      </x:c>
      <x:c r="B294" s="19" t="str">
        <x:v>2022年 一、填空第16题</x:v>
      </x:c>
      <x:c r="C294" s="19" t="str">
        <x:v>填空</x:v>
      </x:c>
      <x:c r="D294" s="20"/>
      <x:c r="E294" s="15" t="str">
        <x:v>回流比、极限条件与操作分析</x:v>
      </x:c>
      <x:c r="F294" s="15" t="str">
        <x:v>|D4|D3|</x:v>
      </x:c>
      <x:c r="G294" s="21" t="str">
        <x:v>某精馏塔维持其他条件不变，将加料板位置从最佳位置下移，则精馏段塔板数 ，塔顶产品组成 ，塔底产品组成</x:v>
      </x:c>
      <x:c r="H294" s="15" t="str">
        <x:v>C</x:v>
      </x:c>
      <x:c r="I294" s="15" t="str">
        <x:v>11</x:v>
      </x:c>
      <x:c r="J294" s="15" t="str">
        <x:v>汇编题卷（未核实官方原卷）</x:v>
      </x:c>
      <x:c r="K294" s="22" t="str">
        <x:v>扫描题干摘录，公式与数值做题前核对原PDF。</x:v>
      </x:c>
    </x:row>
    <x:row r="295" ht="66" customHeight="1">
      <x:c r="A295" s="18" t="n">
        <x:v>2022</x:v>
      </x:c>
      <x:c r="B295" s="19" t="str">
        <x:v>2022年 一、填空第17题</x:v>
      </x:c>
      <x:c r="C295" s="19" t="str">
        <x:v>填空</x:v>
      </x:c>
      <x:c r="D295" s="20"/>
      <x:c r="E295" s="15" t="str">
        <x:v>回流比、极限条件与操作分析</x:v>
      </x:c>
      <x:c r="F295" s="15" t="str">
        <x:v>|D4|</x:v>
      </x:c>
      <x:c r="G295" s="21" t="str">
        <x:v>在精馏操作中，回流比R增大，则xD增 但是xD不可能无限增大，因为XD 的增大受 的限制和 的限制物</x:v>
      </x:c>
      <x:c r="H295" s="15" t="str">
        <x:v>C</x:v>
      </x:c>
      <x:c r="I295" s="15" t="str">
        <x:v>11</x:v>
      </x:c>
      <x:c r="J295" s="15" t="str">
        <x:v>汇编题卷（未核实官方原卷）</x:v>
      </x:c>
      <x:c r="K295" s="22" t="str">
        <x:v>扫描题干摘录，公式与数值做题前核对原PDF。</x:v>
      </x:c>
    </x:row>
    <x:row r="296" ht="66" customHeight="1">
      <x:c r="A296" s="18" t="n">
        <x:v>2022</x:v>
      </x:c>
      <x:c r="B296" s="19" t="str">
        <x:v>2022年 一、填空第18题</x:v>
      </x:c>
      <x:c r="C296" s="19" t="str">
        <x:v>填空</x:v>
      </x:c>
      <x:c r="D296" s="20"/>
      <x:c r="E296" s="15" t="str">
        <x:v>选择性、分配系数与单级萃取</x:v>
      </x:c>
      <x:c r="F296" s="15" t="str">
        <x:v>|X1|</x:v>
      </x:c>
      <x:c r="G296" s="21" t="str">
        <x:v>列举两个多级错流萃取的特</x:v>
      </x:c>
      <x:c r="H296" s="15" t="str">
        <x:v>C</x:v>
      </x:c>
      <x:c r="I296" s="15" t="str">
        <x:v>11</x:v>
      </x:c>
      <x:c r="J296" s="15" t="str">
        <x:v>汇编题卷（未核实官方原卷）</x:v>
      </x:c>
      <x:c r="K296" s="22" t="str">
        <x:v>扫描题干摘录，公式与数值做题前核对原PDF。</x:v>
      </x:c>
    </x:row>
    <x:row r="297" ht="66" customHeight="1">
      <x:c r="A297" s="18" t="n">
        <x:v>2022</x:v>
      </x:c>
      <x:c r="B297" s="19" t="str">
        <x:v>2022年 二、简答第1题</x:v>
      </x:c>
      <x:c r="C297" s="19" t="str">
        <x:v>简答</x:v>
      </x:c>
      <x:c r="D297" s="20"/>
      <x:c r="E297" s="15" t="str">
        <x:v>测速管、孔板与转子流量计</x:v>
      </x:c>
      <x:c r="F297" s="15" t="str">
        <x:v>|F5|F1|</x:v>
      </x:c>
      <x:c r="G297" s="21" t="str">
        <x:v>采用毕托管测量气体管路的流量，因为碰撞导致毕托管的冲压位置整体偏离中 心，但仍平行承流动劣向，过程中气体流量及其他条件不变，则此时毕托管的U型 管读数将如何变化，请结合毕托管原理阐述原因。</x:v>
      </x:c>
      <x:c r="H297" s="15" t="str">
        <x:v>C</x:v>
      </x:c>
      <x:c r="I297" s="15" t="str">
        <x:v>11</x:v>
      </x:c>
      <x:c r="J297" s="15" t="str">
        <x:v>汇编题卷（未核实官方原卷）</x:v>
      </x:c>
      <x:c r="K297" s="22" t="str">
        <x:v>扫描题干摘录，公式与数值做题前核对原PDF。</x:v>
      </x:c>
    </x:row>
    <x:row r="298" ht="66" customHeight="1">
      <x:c r="A298" s="18" t="n">
        <x:v>2022</x:v>
      </x:c>
      <x:c r="B298" s="19" t="str">
        <x:v>2022年 二、简答第2题</x:v>
      </x:c>
      <x:c r="C298" s="19" t="str">
        <x:v>简答</x:v>
      </x:c>
      <x:c r="D298" s="20"/>
      <x:c r="E298" s="15" t="str">
        <x:v>颗粒粒径、沉降与降尘室</x:v>
      </x:c>
      <x:c r="F298" s="15" t="str">
        <x:v>|S1|</x:v>
      </x:c>
      <x:c r="G298" s="21" t="str">
        <x:v>用某一降尘室处理含尘气体，在气体流量不变的情况下，颗粒的密度变大，并适 当降低尘室高度，则此时出口气体的含尘量将如何变化？请说明原因。</x:v>
      </x:c>
      <x:c r="H298" s="15" t="str">
        <x:v>C</x:v>
      </x:c>
      <x:c r="I298" s="15" t="str">
        <x:v>11</x:v>
      </x:c>
      <x:c r="J298" s="15" t="str">
        <x:v>汇编题卷（未核实官方原卷）</x:v>
      </x:c>
      <x:c r="K298" s="22" t="str">
        <x:v>扫描题干摘录，公式与数值做题前核对原PDF。</x:v>
      </x:c>
    </x:row>
    <x:row r="299" ht="66" customHeight="1">
      <x:c r="A299" s="18" t="n">
        <x:v>2022</x:v>
      </x:c>
      <x:c r="B299" s="19" t="str">
        <x:v>2022年 二、简答第3题</x:v>
      </x:c>
      <x:c r="C299" s="19" t="str">
        <x:v>简答</x:v>
      </x:c>
      <x:c r="D299" s="20"/>
      <x:c r="E299" s="15" t="str">
        <x:v>吸收 / 解吸的操作变化与强化</x:v>
      </x:c>
      <x:c r="F299" s="15" t="str">
        <x:v>|A5|A3|</x:v>
      </x:c>
      <x:c r="G299" s="21" t="str">
        <x:v>某逆流吸收塔中，用清水吸收空气中低浓度的HCI,若用水量和入塔空气连不变， 入塔混合气体中的HCI含量升高，请分析入塔气体组成改变后，出塔的吸收剂浓度 以及HCI的吸收率将如何让变化，并在Y-X图上画出变化前后两种操作条件下的平 衡线与操作线。</x:v>
      </x:c>
      <x:c r="H299" s="15" t="str">
        <x:v>C</x:v>
      </x:c>
      <x:c r="I299" s="15" t="str">
        <x:v>11、12</x:v>
      </x:c>
      <x:c r="J299" s="15" t="str">
        <x:v>汇编题卷（未核实官方原卷）</x:v>
      </x:c>
      <x:c r="K299" s="22" t="str">
        <x:v>扫描题干摘录，公式与数值做题前核对原PDF。</x:v>
      </x:c>
    </x:row>
    <x:row r="300" ht="66" customHeight="1">
      <x:c r="A300" s="18" t="n">
        <x:v>2022</x:v>
      </x:c>
      <x:c r="B300" s="19" t="str">
        <x:v>2022年 二、简答第4题</x:v>
      </x:c>
      <x:c r="C300" s="19" t="str">
        <x:v>简答</x:v>
      </x:c>
      <x:c r="D300" s="20"/>
      <x:c r="E300" s="15" t="str">
        <x:v>回流比、极限条件与操作分析</x:v>
      </x:c>
      <x:c r="F300" s="15" t="str">
        <x:v>|D4|T1|</x:v>
      </x:c>
      <x:c r="G300" s="21" t="str">
        <x:v>精馏操作中回流比是非常重要的操作参数，若保持进料条件（给定原料量和进料 中轻组分含量)，塔顶塔釜采出量不变，简述减小回流比对塔顶产品组成、能耗、塔 板操作的影响。</x:v>
      </x:c>
      <x:c r="H300" s="15" t="str">
        <x:v>C</x:v>
      </x:c>
      <x:c r="I300" s="15" t="str">
        <x:v>12</x:v>
      </x:c>
      <x:c r="J300" s="15" t="str">
        <x:v>汇编题卷（未核实官方原卷）</x:v>
      </x:c>
      <x:c r="K300" s="22" t="str">
        <x:v>扫描题干摘录，公式与数值做题前核对原PDF。</x:v>
      </x:c>
    </x:row>
    <x:row r="301" ht="66" customHeight="1">
      <x:c r="A301" s="18" t="n">
        <x:v>2022</x:v>
      </x:c>
      <x:c r="B301" s="19" t="str">
        <x:v>2022年 三、计算第1题</x:v>
      </x:c>
      <x:c r="C301" s="19" t="str">
        <x:v>计算</x:v>
      </x:c>
      <x:c r="D301" s="20" t="n">
        <x:v>20</x:v>
      </x:c>
      <x:c r="E301" s="15" t="str">
        <x:v>泵特性、工作点、调节与功率</x:v>
      </x:c>
      <x:c r="F301" s="15" t="str">
        <x:v>|P1|F2|F3|</x:v>
      </x:c>
      <x:c r="G301" s="21" t="str">
        <x:v>（20分）采用一台离心泵将某溶液从口设备A输送到一口设备B．两设备的 液面高度相等，输送管内径均为100mm，各段管路的管长和各种局部阻力的当量长 度的总和为183m，假设管内流动进入阻力平方区，摩擦因数为0.03，泵的性能曲线 可以用H=30-0.01Q²来表示，此处H为泵的扬程，m；Q为泵的流量，m2/h：泵的转 速为3000r/min，试求： （1）离泵的输送流量m/h; (2）当所需供水量为现在的80%时，采用变速调节，泵的转速应为多少（r/min）。</x:v>
      </x:c>
      <x:c r="H301" s="15" t="str">
        <x:v>C</x:v>
      </x:c>
      <x:c r="I301" s="15" t="str">
        <x:v>12</x:v>
      </x:c>
      <x:c r="J301" s="15" t="str">
        <x:v>汇编题卷（未核实官方原卷）</x:v>
      </x:c>
      <x:c r="K301" s="22" t="str">
        <x:v>扫描题干摘录，公式与数值做题前核对原PDF。</x:v>
      </x:c>
    </x:row>
    <x:row r="302" ht="66" customHeight="1">
      <x:c r="A302" s="18" t="n">
        <x:v>2022</x:v>
      </x:c>
      <x:c r="B302" s="19" t="str">
        <x:v>2022年 三、计算第2题</x:v>
      </x:c>
      <x:c r="C302" s="19" t="str">
        <x:v>计算</x:v>
      </x:c>
      <x:c r="D302" s="20" t="n">
        <x:v>12</x:v>
      </x:c>
      <x:c r="E302" s="15" t="str">
        <x:v>洗涤、板框 / 转筒与生产能力</x:v>
      </x:c>
      <x:c r="F302" s="15" t="str">
        <x:v>|S4|S3|</x:v>
      </x:c>
      <x:c r="G302" s="21" t="str">
        <x:v>（12分）拟用一板框过滤机处理某一悬浮液，滤饼与滤液体积之比C=0.04m/m²， 在1.5atm的操作压力下，过滤常熟K=2.73×10-m2/s，过滤介质阻力可忽略不计，滤 饼不可压缩。 （1）若要求过滤1h获取0.41m?的滤饼，试求所需的过滤面积。 （2）若选用板框长宽的规格为0.81x0.81m，试确当框数及框的厚度。（假设滤饼充 满滤框) （3）若滤液量保持不变，滤饼不需洗涤，拆装时间需 45min，试求为使上述板框过 滤机生产能力达到最大时,其操作压力应提高至多少?</x:v>
      </x:c>
      <x:c r="H302" s="15" t="str">
        <x:v>C</x:v>
      </x:c>
      <x:c r="I302" s="15" t="str">
        <x:v>12</x:v>
      </x:c>
      <x:c r="J302" s="15" t="str">
        <x:v>汇编题卷（未核实官方原卷）</x:v>
      </x:c>
      <x:c r="K302" s="22" t="str">
        <x:v>扫描题干摘录，公式与数值做题前核对原PDF。</x:v>
      </x:c>
    </x:row>
    <x:row r="303" ht="66" customHeight="1">
      <x:c r="A303" s="18" t="n">
        <x:v>2022</x:v>
      </x:c>
      <x:c r="B303" s="19" t="str">
        <x:v>2022年 三、计算第3题</x:v>
      </x:c>
      <x:c r="C303" s="19" t="str">
        <x:v>计算</x:v>
      </x:c>
      <x:c r="D303" s="20" t="n">
        <x:v>20</x:v>
      </x:c>
      <x:c r="E303" s="15" t="str">
        <x:v>换热器设计、校核与操作计算</x:v>
      </x:c>
      <x:c r="F303" s="15" t="str">
        <x:v>|H4|H2|H3|H5|</x:v>
      </x:c>
      <x:c r="G303" s="21" t="str">
        <x:v>（20分）有一单程列管式换热器，由38根长1.5m，规格为025×2.5mm的钢管组 成，拟用以将440kg/h的常压气体由20°℃预热至95℃，壳程用110°℃的的饱和水蒸 气冷凝加热。以上计算中，蒸汽冷凝热阻、管壁及污垢热阳均可忽略不计，空气的物 性可取：粘度为2×10-5Pa·s，比热容为1kJ/（kg:℃），导热系数为0.029W/（m²℃)， 热损失忽略不计。 （1）通过计算说明该换热器是否适用？ （2）如使用该换热器时空气的实际出口温度为多少？ （3）若要求空气的出口温度能够达到95℃，将管程由单管程变为双管程是否可行？</x:v>
      </x:c>
      <x:c r="H303" s="15" t="str">
        <x:v>C</x:v>
      </x:c>
      <x:c r="I303" s="15" t="str">
        <x:v>12、13</x:v>
      </x:c>
      <x:c r="J303" s="15" t="str">
        <x:v>汇编题卷（未核实官方原卷）</x:v>
      </x:c>
      <x:c r="K303" s="22" t="str">
        <x:v>扫描题干摘录，公式与数值做题前核对原PDF。</x:v>
      </x:c>
    </x:row>
    <x:row r="304" ht="66" customHeight="1">
      <x:c r="A304" s="18" t="n">
        <x:v>2022</x:v>
      </x:c>
      <x:c r="B304" s="19" t="str">
        <x:v>2022年 三、计算第4题</x:v>
      </x:c>
      <x:c r="C304" s="19" t="str">
        <x:v>计算</x:v>
      </x:c>
      <x:c r="D304" s="20" t="n">
        <x:v>24</x:v>
      </x:c>
      <x:c r="E304" s="15" t="str">
        <x:v>传质单元、填料高度与理论级</x:v>
      </x:c>
      <x:c r="F304" s="15" t="str">
        <x:v>|A4|A3|A5|</x:v>
      </x:c>
      <x:c r="G304" s="21" t="str">
        <x:v>在直径为1m的填料塔中，用纯溶剂逆流吸收尾气中的有害组分A，混合气流量为500Nm?/h，入塔溶剂流量为60kmol/h，入塔混合气中A的摩尔分率为5%， 回收率可达98%，该塔在101.325kPa，25°℃下操作，气液两相平衡关系为Y=0.9X， 气相总体积传质系数Kya=100kmol/（m3·h），试求： （1）吸收流出塔浓度； （2）填料塔高度 （3）若填料层高度降低0.5m，其他操作条件不变，回收率将降为多少？</x:v>
      </x:c>
      <x:c r="H304" s="15" t="str">
        <x:v>C</x:v>
      </x:c>
      <x:c r="I304" s="15" t="str">
        <x:v>12、13</x:v>
      </x:c>
      <x:c r="J304" s="15" t="str">
        <x:v>汇编题卷（未核实官方原卷）</x:v>
      </x:c>
      <x:c r="K304" s="22" t="str">
        <x:v>题目标题与分值以另一汇编PDF第72页交叉核对；同年版本部分数值有差异。</x:v>
      </x:c>
    </x:row>
    <x:row r="305" ht="66" customHeight="1">
      <x:c r="A305" s="18" t="n">
        <x:v>2022</x:v>
      </x:c>
      <x:c r="B305" s="19" t="str">
        <x:v>2022年 三、计算第5题</x:v>
      </x:c>
      <x:c r="C305" s="19" t="str">
        <x:v>计算</x:v>
      </x:c>
      <x:c r="D305" s="20" t="n">
        <x:v>24</x:v>
      </x:c>
      <x:c r="E305" s="15" t="str">
        <x:v>精馏衡算、操作线与进料热状态</x:v>
      </x:c>
      <x:c r="F305" s="15" t="str">
        <x:v>|D2|D4|D3|D1|</x:v>
      </x:c>
      <x:c r="G305" s="21" t="str">
        <x:v>（24分）在常压连续精馏塔中分离苯-甲苯混 原料流量为100kmol/h，其组 成为0.5（轻组分的摩尔分数，下同），泡点避料 塔顶全凝器泡点回流，塔釜采用间 接蒸汽加热。塔釜产品中苯的摩尔分率务002，塔釜甲苯回收率为0.784。设计回流 比取最小回流比的1.53倍，物质的平均相对挥发度为2.5，试求： （1）塔顶产品组成和塔顶馏出液司 苯的回收率为多少？ （2）设计回流比; （3）精馏段和提馏段操作线方程； （4）假设塔板液相弗里板效率为0.5，求离开塔顶第一块塔板的液相组成。</x:v>
      </x:c>
      <x:c r="H305" s="15" t="str">
        <x:v>C</x:v>
      </x:c>
      <x:c r="I305" s="15" t="str">
        <x:v>13</x:v>
      </x:c>
      <x:c r="J305" s="15" t="str">
        <x:v>汇编题卷（未核实官方原卷）</x:v>
      </x:c>
      <x:c r="K305" s="22" t="str">
        <x:v>扫描题干摘录，公式与数值做题前核对原PDF。</x:v>
      </x:c>
    </x:row>
    <x:row r="306" ht="66" customHeight="1">
      <x:c r="A306" s="18" t="n">
        <x:v>2023</x:v>
      </x:c>
      <x:c r="B306" s="19" t="str">
        <x:v>2023年 一、填空第1题</x:v>
      </x:c>
      <x:c r="C306" s="19" t="str">
        <x:v>填空</x:v>
      </x:c>
      <x:c r="D306" s="20"/>
      <x:c r="E306" s="15" t="str">
        <x:v>旋风分离器与离心分离</x:v>
      </x:c>
      <x:c r="F306" s="15" t="str">
        <x:v>|S2|</x:v>
      </x:c>
      <x:c r="G306" s="21" t="str">
        <x:v>旋风分离器性能之一的临界粒径是指 ，其大小是判断旋风分离器 的 重要依据。</x:v>
      </x:c>
      <x:c r="H306" s="15" t="str">
        <x:v>B</x:v>
      </x:c>
      <x:c r="I306" s="15" t="str">
        <x:v>74</x:v>
      </x:c>
      <x:c r="J306" s="15" t="str">
        <x:v>汇编题卷（未核实官方原卷）</x:v>
      </x:c>
      <x:c r="K306" s="22" t="str">
        <x:v>扫描题干摘录，公式与数值做题前核对原PDF。</x:v>
      </x:c>
    </x:row>
    <x:row r="307" ht="66" customHeight="1">
      <x:c r="A307" s="18" t="n">
        <x:v>2023</x:v>
      </x:c>
      <x:c r="B307" s="19" t="str">
        <x:v>2023年 一、填空第2题</x:v>
      </x:c>
      <x:c r="C307" s="19" t="str">
        <x:v>填空</x:v>
      </x:c>
      <x:c r="D307" s="20"/>
      <x:c r="E307" s="15" t="str">
        <x:v>连续性、伯努利与管路计算</x:v>
      </x:c>
      <x:c r="F307" s="15" t="str">
        <x:v>|F2|</x:v>
      </x:c>
      <x:c r="G307" s="21" t="str">
        <x:v>并联管路的特点是：并联各管段的阻力损失 ；主管流量等于并联的各管段 流量 ；并联各管段中、长管、小直径管段的流量 (大于、小于、等 于、不确定)短管、大直径管段的流量。</x:v>
      </x:c>
      <x:c r="H307" s="15" t="str">
        <x:v>B</x:v>
      </x:c>
      <x:c r="I307" s="15" t="str">
        <x:v>74</x:v>
      </x:c>
      <x:c r="J307" s="15" t="str">
        <x:v>汇编题卷（未核实官方原卷）</x:v>
      </x:c>
      <x:c r="K307" s="22" t="str">
        <x:v>扫描题干摘录，公式与数值做题前核对原PDF。</x:v>
      </x:c>
    </x:row>
    <x:row r="308" ht="66" customHeight="1">
      <x:c r="A308" s="18" t="n">
        <x:v>2023</x:v>
      </x:c>
      <x:c r="B308" s="19" t="str">
        <x:v>2023年 一、填空第3题</x:v>
      </x:c>
      <x:c r="C308" s="19" t="str">
        <x:v>填空</x:v>
      </x:c>
      <x:c r="D308" s="20"/>
      <x:c r="E308" s="15" t="str">
        <x:v>对流传热、准数与膜系数</x:v>
      </x:c>
      <x:c r="F308" s="15" t="str">
        <x:v>|H2|</x:v>
      </x:c>
      <x:c r="G308" s="21" t="str">
        <x:v>根据流体流动原因不同，无相变对流传热可分为 和</x:v>
      </x:c>
      <x:c r="H308" s="15" t="str">
        <x:v>B</x:v>
      </x:c>
      <x:c r="I308" s="15" t="str">
        <x:v>74</x:v>
      </x:c>
      <x:c r="J308" s="15" t="str">
        <x:v>汇编题卷（未核实官方原卷）</x:v>
      </x:c>
      <x:c r="K308" s="22" t="str">
        <x:v>扫描题干摘录，公式与数值做题前核对原PDF。</x:v>
      </x:c>
    </x:row>
    <x:row r="309" ht="66" customHeight="1">
      <x:c r="A309" s="18" t="n">
        <x:v>2023</x:v>
      </x:c>
      <x:c r="B309" s="19" t="str">
        <x:v>2023年 一、填空第4题</x:v>
      </x:c>
      <x:c r="C309" s="19" t="str">
        <x:v>填空</x:v>
      </x:c>
      <x:c r="D309" s="20"/>
      <x:c r="E309" s="15" t="str">
        <x:v>泵特性、工作点、调节与功率</x:v>
      </x:c>
      <x:c r="F309" s="15" t="str">
        <x:v>|P1|</x:v>
      </x:c>
      <x:c r="G309" s="21" t="str">
        <x:v>当正常操作下的离心泵出口阀门开大时，液体流量 ，泵出口压力 (变大、变小、不变、不确定)</x:v>
      </x:c>
      <x:c r="H309" s="15" t="str">
        <x:v>B</x:v>
      </x:c>
      <x:c r="I309" s="15" t="str">
        <x:v>74</x:v>
      </x:c>
      <x:c r="J309" s="15" t="str">
        <x:v>汇编题卷（未核实官方原卷）</x:v>
      </x:c>
      <x:c r="K309" s="22" t="str">
        <x:v>扫描题干摘录，公式与数值做题前核对原PDF。</x:v>
      </x:c>
    </x:row>
    <x:row r="310" ht="66" customHeight="1">
      <x:c r="A310" s="18" t="n">
        <x:v>2023</x:v>
      </x:c>
      <x:c r="B310" s="19" t="str">
        <x:v>2023年 一、填空第5题</x:v>
      </x:c>
      <x:c r="C310" s="19" t="str">
        <x:v>填空</x:v>
      </x:c>
      <x:c r="D310" s="20"/>
      <x:c r="E310" s="15" t="str">
        <x:v>导热、保温与临界直径</x:v>
      </x:c>
      <x:c r="F310" s="15" t="str">
        <x:v>|H1|</x:v>
      </x:c>
      <x:c r="G310" s="21" t="str">
        <x:v>与一维稳态平板壁传热不同，在一维稳态圆筒壁传热中，在径向方向上，随着半 径和传热面积的增加，热通量 _。 (增大、减小、不变、不确定)</x:v>
      </x:c>
      <x:c r="H310" s="15" t="str">
        <x:v>B</x:v>
      </x:c>
      <x:c r="I310" s="15" t="str">
        <x:v>74</x:v>
      </x:c>
      <x:c r="J310" s="15" t="str">
        <x:v>汇编题卷（未核实官方原卷）</x:v>
      </x:c>
      <x:c r="K310" s="22" t="str">
        <x:v>扫描题干摘录，公式与数值做题前核对原PDF。</x:v>
      </x:c>
    </x:row>
    <x:row r="311" ht="66" customHeight="1">
      <x:c r="A311" s="18" t="n">
        <x:v>2023</x:v>
      </x:c>
      <x:c r="B311" s="19" t="str">
        <x:v>2023年 一、填空第6题</x:v>
      </x:c>
      <x:c r="C311" s="19" t="str">
        <x:v>填空</x:v>
      </x:c>
      <x:c r="D311" s="20"/>
      <x:c r="E311" s="15" t="str">
        <x:v>黏性、Re、流型与管路阻力</x:v>
      </x:c>
      <x:c r="F311" s="15" t="str">
        <x:v>|F3|F2|</x:v>
      </x:c>
      <x:c r="G311" s="21" t="str">
        <x:v>液体流过变直径管路，d2=2d1，试比较小管和大管中的雷诺数Re1、Re2。</x:v>
      </x:c>
      <x:c r="H311" s="15" t="str">
        <x:v>B</x:v>
      </x:c>
      <x:c r="I311" s="15" t="str">
        <x:v>74</x:v>
      </x:c>
      <x:c r="J311" s="15" t="str">
        <x:v>汇编题卷（未核实官方原卷）</x:v>
      </x:c>
      <x:c r="K311" s="22" t="str">
        <x:v>扫描题干摘录，公式与数值做题前核对原PDF。</x:v>
      </x:c>
    </x:row>
    <x:row r="312" ht="66" customHeight="1">
      <x:c r="A312" s="18" t="n">
        <x:v>2023</x:v>
      </x:c>
      <x:c r="B312" s="19" t="str">
        <x:v>2023年 一、填空第7题</x:v>
      </x:c>
      <x:c r="C312" s="19" t="str">
        <x:v>填空</x:v>
      </x:c>
      <x:c r="D312" s="20"/>
      <x:c r="E312" s="15" t="str">
        <x:v>过滤方程与过滤常数</x:v>
      </x:c>
      <x:c r="F312" s="15" t="str">
        <x:v>|S3|S4|</x:v>
      </x:c>
      <x:c r="G312" s="21" t="str">
        <x:v>以板框式过滤机恒压过滤某悬浮液，过滤面积为10m2,每一循环过滤时间15min,得滤 液2.91m²。若过滤介质阻力忽略不计，且该机生产能力为4.8m2/h滤液，则过滤常数K 为 m"\min，洗涤、辅助总共需要的时间为 min.</x:v>
      </x:c>
      <x:c r="H312" s="15" t="str">
        <x:v>B</x:v>
      </x:c>
      <x:c r="I312" s="15" t="str">
        <x:v>74</x:v>
      </x:c>
      <x:c r="J312" s="15" t="str">
        <x:v>汇编题卷（未核实官方原卷）</x:v>
      </x:c>
      <x:c r="K312" s="22" t="str">
        <x:v>扫描题干摘录，公式与数值做题前核对原PDF。</x:v>
      </x:c>
    </x:row>
    <x:row r="313" ht="66" customHeight="1">
      <x:c r="A313" s="18" t="n">
        <x:v>2023</x:v>
      </x:c>
      <x:c r="B313" s="19" t="str">
        <x:v>2023年 一、填空第8题</x:v>
      </x:c>
      <x:c r="C313" s="19" t="str">
        <x:v>填空</x:v>
      </x:c>
      <x:c r="D313" s="20"/>
      <x:c r="E313" s="15" t="str">
        <x:v>流程选择、设备结构与强化</x:v>
      </x:c>
      <x:c r="F313" s="15" t="str">
        <x:v>|H5|</x:v>
      </x:c>
      <x:c r="G313" s="21" t="str">
        <x:v>在列管式换热器的流程选择中 毒物质应该走换热器的 程。</x:v>
      </x:c>
      <x:c r="H313" s="15" t="str">
        <x:v>B</x:v>
      </x:c>
      <x:c r="I313" s="15" t="str">
        <x:v>74</x:v>
      </x:c>
      <x:c r="J313" s="15" t="str">
        <x:v>汇编题卷（未核实官方原卷）</x:v>
      </x:c>
      <x:c r="K313" s="22" t="str">
        <x:v>扫描题干摘录，公式与数值做题前核对原PDF。</x:v>
      </x:c>
    </x:row>
    <x:row r="314" ht="66" customHeight="1">
      <x:c r="A314" s="18" t="n">
        <x:v>2023</x:v>
      </x:c>
      <x:c r="B314" s="19" t="str">
        <x:v>2023年 一、填空第9题</x:v>
      </x:c>
      <x:c r="C314" s="19" t="str">
        <x:v>填空</x:v>
      </x:c>
      <x:c r="D314" s="20"/>
      <x:c r="E314" s="15" t="str">
        <x:v>黏性、Re、流型与管路阻力</x:v>
      </x:c>
      <x:c r="F314" s="15" t="str">
        <x:v>|F3|</x:v>
      </x:c>
      <x:c r="G314" s="21" t="str">
        <x:v>某流体在圆形直管中做层流流动，其速度分布是 型曲线，其管中心最大 速度为平均流速的倍。摩擦系数入与雷诺数Re的关系为</x:v>
      </x:c>
      <x:c r="H314" s="15" t="str">
        <x:v>B</x:v>
      </x:c>
      <x:c r="I314" s="15" t="str">
        <x:v>74</x:v>
      </x:c>
      <x:c r="J314" s="15" t="str">
        <x:v>汇编题卷（未核实官方原卷）</x:v>
      </x:c>
      <x:c r="K314" s="22" t="str">
        <x:v>扫描题干摘录，公式与数值做题前核对原PDF。</x:v>
      </x:c>
    </x:row>
    <x:row r="315" ht="66" customHeight="1">
      <x:c r="A315" s="18" t="n">
        <x:v>2023</x:v>
      </x:c>
      <x:c r="B315" s="19" t="str">
        <x:v>2023年 一、填空第10题</x:v>
      </x:c>
      <x:c r="C315" s="19" t="str">
        <x:v>填空</x:v>
      </x:c>
      <x:c r="D315" s="20"/>
      <x:c r="E315" s="15" t="str">
        <x:v>颗粒粒径、沉降与降尘室</x:v>
      </x:c>
      <x:c r="F315" s="15" t="str">
        <x:v>|S1|S2|</x:v>
      </x:c>
      <x:c r="G315" s="21" t="str">
        <x:v>某含尘气体，依次经过一个降尘室和一个旋风分离器进行除尘。若气体流量适 当增加(其余不变)，则降尘室除尘效率 ，旋风分离器除尘效率 (增大、减少、不变、不确定)</x:v>
      </x:c>
      <x:c r="H315" s="15" t="str">
        <x:v>B</x:v>
      </x:c>
      <x:c r="I315" s="15" t="str">
        <x:v>74</x:v>
      </x:c>
      <x:c r="J315" s="15" t="str">
        <x:v>汇编题卷（未核实官方原卷）</x:v>
      </x:c>
      <x:c r="K315" s="22" t="str">
        <x:v>扫描题干摘录，公式与数值做题前核对原PDF。</x:v>
      </x:c>
    </x:row>
    <x:row r="316" ht="66" customHeight="1">
      <x:c r="A316" s="18" t="n">
        <x:v>2023</x:v>
      </x:c>
      <x:c r="B316" s="19" t="str">
        <x:v>2023年 一、填空第11题</x:v>
      </x:c>
      <x:c r="C316" s="19" t="str">
        <x:v>填空</x:v>
      </x:c>
      <x:c r="D316" s="20"/>
      <x:c r="E316" s="15" t="str">
        <x:v>对流传热、准数与膜系数</x:v>
      </x:c>
      <x:c r="F316" s="15" t="str">
        <x:v>|H2|</x:v>
      </x:c>
      <x:c r="G316" s="21" t="str">
        <x:v>在对流传热中，用来表示对流传热系数的准数是</x:v>
      </x:c>
      <x:c r="H316" s="15" t="str">
        <x:v>B</x:v>
      </x:c>
      <x:c r="I316" s="15" t="str">
        <x:v>74</x:v>
      </x:c>
      <x:c r="J316" s="15" t="str">
        <x:v>汇编题卷（未核实官方原卷）</x:v>
      </x:c>
      <x:c r="K316" s="22" t="str">
        <x:v>扫描题干摘录，公式与数值做题前核对原PDF。</x:v>
      </x:c>
    </x:row>
    <x:row r="317" ht="66" customHeight="1">
      <x:c r="A317" s="18" t="n">
        <x:v>2023</x:v>
      </x:c>
      <x:c r="B317" s="19" t="str">
        <x:v>2023年 一、填空第12题</x:v>
      </x:c>
      <x:c r="C317" s="19" t="str">
        <x:v>填空</x:v>
      </x:c>
      <x:c r="D317" s="20"/>
      <x:c r="E317" s="15" t="str">
        <x:v>汽蚀、气缚、安装与开停</x:v>
      </x:c>
      <x:c r="F317" s="15" t="str">
        <x:v>|P2|</x:v>
      </x:c>
      <x:c r="G317" s="21" t="str">
        <x:v>同一台离心泵分别在拉萨和上海使用，假设其它条件保持不变，最大的允许安装 高度：拉萨 上海。(大于、小于、等于、不确定)</x:v>
      </x:c>
      <x:c r="H317" s="15" t="str">
        <x:v>B</x:v>
      </x:c>
      <x:c r="I317" s="15" t="str">
        <x:v>74</x:v>
      </x:c>
      <x:c r="J317" s="15" t="str">
        <x:v>汇编题卷（未核实官方原卷）</x:v>
      </x:c>
      <x:c r="K317" s="22" t="str">
        <x:v>扫描题干摘录，公式与数值做题前核对原PDF。</x:v>
      </x:c>
    </x:row>
    <x:row r="318" ht="66" customHeight="1">
      <x:c r="A318" s="18" t="n">
        <x:v>2023</x:v>
      </x:c>
      <x:c r="B318" s="19" t="str">
        <x:v>2023年 一、填空第13题</x:v>
      </x:c>
      <x:c r="C318" s="19" t="str">
        <x:v>填空</x:v>
      </x:c>
      <x:c r="D318" s="20"/>
      <x:c r="E318" s="15" t="str">
        <x:v>导热、保温与临界直径</x:v>
      </x:c>
      <x:c r="F318" s="15" t="str">
        <x:v>|H1|</x:v>
      </x:c>
      <x:c r="G318" s="21" t="str">
        <x:v>管线保温层的临界直径与 和 有关。</x:v>
      </x:c>
      <x:c r="H318" s="15" t="str">
        <x:v>B</x:v>
      </x:c>
      <x:c r="I318" s="15" t="str">
        <x:v>74</x:v>
      </x:c>
      <x:c r="J318" s="15" t="str">
        <x:v>汇编题卷（未核实官方原卷）</x:v>
      </x:c>
      <x:c r="K318" s="22" t="str">
        <x:v>扫描题干摘录，公式与数值做题前核对原PDF。</x:v>
      </x:c>
    </x:row>
    <x:row r="319" ht="66" customHeight="1">
      <x:c r="A319" s="18" t="n">
        <x:v>2023</x:v>
      </x:c>
      <x:c r="B319" s="19" t="str">
        <x:v>2023年 一、填空第14题</x:v>
      </x:c>
      <x:c r="C319" s="19" t="str">
        <x:v>填空</x:v>
      </x:c>
      <x:c r="D319" s="20"/>
      <x:c r="E319" s="15" t="str">
        <x:v>板式 / 填料塔、液泛与负荷图</x:v>
      </x:c>
      <x:c r="F319" s="15" t="str">
        <x:v>|T1|</x:v>
      </x:c>
      <x:c r="G319" s="21" t="str">
        <x:v>浮阀塔板上溢流堰的主要作用是</x:v>
      </x:c>
      <x:c r="H319" s="15" t="str">
        <x:v>B</x:v>
      </x:c>
      <x:c r="I319" s="15" t="str">
        <x:v>74</x:v>
      </x:c>
      <x:c r="J319" s="15" t="str">
        <x:v>汇编题卷（未核实官方原卷）</x:v>
      </x:c>
      <x:c r="K319" s="22" t="str">
        <x:v>扫描题干摘录，公式与数值做题前核对原PDF。</x:v>
      </x:c>
    </x:row>
    <x:row r="320" ht="66" customHeight="1">
      <x:c r="A320" s="18" t="n">
        <x:v>2023</x:v>
      </x:c>
      <x:c r="B320" s="19" t="str">
        <x:v>2023年 一、填空第15题</x:v>
      </x:c>
      <x:c r="C320" s="19" t="str">
        <x:v>填空</x:v>
      </x:c>
      <x:c r="D320" s="20"/>
      <x:c r="E320" s="15" t="str">
        <x:v>相平衡、相对挥发度与闪蒸</x:v>
      </x:c>
      <x:c r="F320" s="15" t="str">
        <x:v>|D1|</x:v>
      </x:c>
      <x:c r="G320" s="21" t="str">
        <x:v>总压为101.3KPa，温度为95°℃时，苯与甲苯的饱和蒸气压分别为155.7KPa， 63.3KPa。则该温度压力条件下，气液相平衡时气相中苯的摩尔分数为 _，液 相中苯的摩尔分数为 ，苯与甲苯的相对挥发度为</x:v>
      </x:c>
      <x:c r="H320" s="15" t="str">
        <x:v>B</x:v>
      </x:c>
      <x:c r="I320" s="15" t="str">
        <x:v>75</x:v>
      </x:c>
      <x:c r="J320" s="15" t="str">
        <x:v>汇编题卷（未核实官方原卷）</x:v>
      </x:c>
      <x:c r="K320" s="22" t="str">
        <x:v>扫描题干摘录，公式与数值做题前核对原PDF。</x:v>
      </x:c>
    </x:row>
    <x:row r="321" ht="66" customHeight="1">
      <x:c r="A321" s="18" t="n">
        <x:v>2023</x:v>
      </x:c>
      <x:c r="B321" s="19" t="str">
        <x:v>2023年 一、填空第16题</x:v>
      </x:c>
      <x:c r="C321" s="19" t="str">
        <x:v>填空</x:v>
      </x:c>
      <x:c r="D321" s="20"/>
      <x:c r="E321" s="15" t="str">
        <x:v>分子扩散、费克定律与总体流动</x:v>
      </x:c>
      <x:c r="F321" s="15" t="str">
        <x:v>|M1|</x:v>
      </x:c>
      <x:c r="G321" s="21" t="str">
        <x:v>已知分子扩散时，在某个界面处，组分A的摩尔传质速率为N，组分A的扩散通量 为JA，组分B的摩尔传质速率为NB,总体流动速率为NM,A组分单向扩散时，其大小关 系为：NM NA_ JA 0。(大于、小于、等于、不确定)</x:v>
      </x:c>
      <x:c r="H321" s="15" t="str">
        <x:v>B</x:v>
      </x:c>
      <x:c r="I321" s="15" t="str">
        <x:v>75</x:v>
      </x:c>
      <x:c r="J321" s="15" t="str">
        <x:v>汇编题卷（未核实官方原卷）</x:v>
      </x:c>
      <x:c r="K321" s="22" t="str">
        <x:v>扫描题干摘录，公式与数值做题前核对原PDF。</x:v>
      </x:c>
    </x:row>
    <x:row r="322" ht="66" customHeight="1">
      <x:c r="A322" s="18" t="n">
        <x:v>2023</x:v>
      </x:c>
      <x:c r="B322" s="19" t="str">
        <x:v>2023年 一、填空第17题</x:v>
      </x:c>
      <x:c r="C322" s="19" t="str">
        <x:v>填空</x:v>
      </x:c>
      <x:c r="D322" s="20"/>
      <x:c r="E322" s="15" t="str">
        <x:v>回流比、极限条件与操作分析</x:v>
      </x:c>
      <x:c r="F322" s="15" t="str">
        <x:v>|D4|D3|</x:v>
      </x:c>
      <x:c r="G322" s="21" t="str">
        <x:v>设计连续精馏塔时，若进料量F，进料组成xr，进料热状态参数q，塔顶、塔底产品 组成xD、xw和回流比R一定，将设计压力升高，则所需理论板数 ，，冷凝器热 负荷 ，再沸器热负荷 _。 (增大、减少、不变、不确定)</x:v>
      </x:c>
      <x:c r="H322" s="15" t="str">
        <x:v>B</x:v>
      </x:c>
      <x:c r="I322" s="15" t="str">
        <x:v>75</x:v>
      </x:c>
      <x:c r="J322" s="15" t="str">
        <x:v>汇编题卷（未核实官方原卷）</x:v>
      </x:c>
      <x:c r="K322" s="22" t="str">
        <x:v>扫描题干摘录，公式与数值做题前核对原PDF。</x:v>
      </x:c>
    </x:row>
    <x:row r="323" ht="66" customHeight="1">
      <x:c r="A323" s="18" t="n">
        <x:v>2023</x:v>
      </x:c>
      <x:c r="B323" s="19" t="str">
        <x:v>2023年 一、填空第18题</x:v>
      </x:c>
      <x:c r="C323" s="19" t="str">
        <x:v>填空</x:v>
      </x:c>
      <x:c r="D323" s="20"/>
      <x:c r="E323" s="15" t="str">
        <x:v>亨利定律、平衡与传质方向</x:v>
      </x:c>
      <x:c r="F323" s="15" t="str">
        <x:v>|A1|A2|</x:v>
      </x:c>
      <x:c r="G323" s="21" t="str">
        <x:v>对于水吸收NHs和水吸收CO2两个过程，其亨利系数分别用E(NH3)和E(CO2)表示。在 总压和温度相同的条件下，E(NH3) E(CO2）(大于、小于、等于、不确定); 在吸收过程中，传质阻力主要集中于气相一侧的是水吸收 （NH3，CO2）过程。</x:v>
      </x:c>
      <x:c r="H323" s="15" t="str">
        <x:v>B</x:v>
      </x:c>
      <x:c r="I323" s="15" t="str">
        <x:v>75</x:v>
      </x:c>
      <x:c r="J323" s="15" t="str">
        <x:v>汇编题卷（未核实官方原卷）</x:v>
      </x:c>
      <x:c r="K323" s="22" t="str">
        <x:v>扫描题干摘录，公式与数值做题前核对原PDF。</x:v>
      </x:c>
    </x:row>
    <x:row r="324" ht="66" customHeight="1">
      <x:c r="A324" s="18" t="n">
        <x:v>2023</x:v>
      </x:c>
      <x:c r="B324" s="19" t="str">
        <x:v>2023年 一、填空第19题</x:v>
      </x:c>
      <x:c r="C324" s="19" t="str">
        <x:v>填空</x:v>
      </x:c>
      <x:c r="D324" s="20"/>
      <x:c r="E324" s="15" t="str">
        <x:v>板式 / 填料塔、液泛与负荷图</x:v>
      </x:c>
      <x:c r="F324" s="15" t="str">
        <x:v>|T1|</x:v>
      </x:c>
      <x:c r="G324" s="21" t="str">
        <x:v>工业生产中，综合评价塔板性能的指标通常包括处理能力一操作弹性、分离效率、塔板 压降等。在筛孔塔板、浮阀塔板、泡罩塔板等常用塔板类型中，在合理的设计条件范围 内，_ 塔板的操作弹性较好； 塔板的压降较低；_ 塔板具有无泄漏 的特点。</x:v>
      </x:c>
      <x:c r="H324" s="15" t="str">
        <x:v>B</x:v>
      </x:c>
      <x:c r="I324" s="15" t="str">
        <x:v>75</x:v>
      </x:c>
      <x:c r="J324" s="15" t="str">
        <x:v>汇编题卷（未核实官方原卷）</x:v>
      </x:c>
      <x:c r="K324" s="22" t="str">
        <x:v>扫描题干摘录，公式与数值做题前核对原PDF。</x:v>
      </x:c>
    </x:row>
    <x:row r="325" ht="66" customHeight="1">
      <x:c r="A325" s="18" t="n">
        <x:v>2023</x:v>
      </x:c>
      <x:c r="B325" s="19" t="str">
        <x:v>2023年 一、填空第20题</x:v>
      </x:c>
      <x:c r="C325" s="19" t="str">
        <x:v>填空</x:v>
      </x:c>
      <x:c r="D325" s="20"/>
      <x:c r="E325" s="15" t="str">
        <x:v>吸收 / 解吸的操作变化与强化</x:v>
      </x:c>
      <x:c r="F325" s="15" t="str">
        <x:v>|A5|A2|</x:v>
      </x:c>
      <x:c r="G325" s="21" t="str">
        <x:v>在某逆流操作的吸收塔中进行难溶氨体吸收实验。当入塔气体流率显著增大 ，吸收剂流率和其他操作条件 不变时，出塔气体中溶质的浓度将 ;出塔液相中溶质的浓度将 。(增大、减小、不变、不确定)</x:v>
      </x:c>
      <x:c r="H325" s="15" t="str">
        <x:v>B</x:v>
      </x:c>
      <x:c r="I325" s="15" t="str">
        <x:v>75</x:v>
      </x:c>
      <x:c r="J325" s="15" t="str">
        <x:v>汇编题卷（未核实官方原卷）</x:v>
      </x:c>
      <x:c r="K325" s="22" t="str">
        <x:v>扫描题干摘录，公式与数值做题前核对原PDF。</x:v>
      </x:c>
    </x:row>
    <x:row r="326" ht="66" customHeight="1">
      <x:c r="A326" s="18" t="n">
        <x:v>2023</x:v>
      </x:c>
      <x:c r="B326" s="19" t="str">
        <x:v>2023年 二、简答第1题</x:v>
      </x:c>
      <x:c r="C326" s="19" t="str">
        <x:v>简答</x:v>
      </x:c>
      <x:c r="D326" s="20" t="n">
        <x:v>10</x:v>
      </x:c>
      <x:c r="E326" s="15" t="str">
        <x:v>汽蚀、气缚、安装与开停</x:v>
      </x:c>
      <x:c r="F326" s="15" t="str">
        <x:v>|P2|</x:v>
      </x:c>
      <x:c r="G326" s="21" t="str">
        <x:v>某离心泵在操作过程中泵体出现了剧烈震动和噪声，请问出现该现象的原因 是什么?有人指出可以增大流量来解决问题，该措施是否可行?结合公式说明。</x:v>
      </x:c>
      <x:c r="H326" s="15" t="str">
        <x:v>B</x:v>
      </x:c>
      <x:c r="I326" s="15" t="str">
        <x:v>75</x:v>
      </x:c>
      <x:c r="J326" s="15" t="str">
        <x:v>汇编题卷（未核实官方原卷）</x:v>
      </x:c>
      <x:c r="K326" s="22" t="str">
        <x:v>扫描题干摘录，公式与数值做题前核对原PDF。</x:v>
      </x:c>
    </x:row>
    <x:row r="327" ht="66" customHeight="1">
      <x:c r="A327" s="18" t="n">
        <x:v>2023</x:v>
      </x:c>
      <x:c r="B327" s="19" t="str">
        <x:v>2023年 二、简答第2题</x:v>
      </x:c>
      <x:c r="C327" s="19" t="str">
        <x:v>简答</x:v>
      </x:c>
      <x:c r="D327" s="20" t="n">
        <x:v>10</x:v>
      </x:c>
      <x:c r="E327" s="15" t="str">
        <x:v>导热、保温与临界直径</x:v>
      </x:c>
      <x:c r="F327" s="15" t="str">
        <x:v>|H1|</x:v>
      </x:c>
      <x:c r="G327" s="21" t="str">
        <x:v>对比铜和黏土两种材质，二者的导热系数相比大小如何？当温度上升时，二者 导热系数如何变化，现拟采用黏土作为钢管外部的保温层，工程师认为采用的 黏土厚度越厚，保温效果越好，请判断说法是否正确并阐明其原因。 2-</x:v>
      </x:c>
      <x:c r="H327" s="15" t="str">
        <x:v>B</x:v>
      </x:c>
      <x:c r="I327" s="15" t="str">
        <x:v>75</x:v>
      </x:c>
      <x:c r="J327" s="15" t="str">
        <x:v>汇编题卷（未核实官方原卷）</x:v>
      </x:c>
      <x:c r="K327" s="22" t="str">
        <x:v>扫描题干摘录，公式与数值做题前核对原PDF。</x:v>
      </x:c>
    </x:row>
    <x:row r="328" ht="66" customHeight="1">
      <x:c r="A328" s="18" t="n">
        <x:v>2023</x:v>
      </x:c>
      <x:c r="B328" s="19" t="str">
        <x:v>2023年 二、简答第3题</x:v>
      </x:c>
      <x:c r="C328" s="19" t="str">
        <x:v>简答</x:v>
      </x:c>
      <x:c r="D328" s="20" t="n">
        <x:v>10</x:v>
      </x:c>
      <x:c r="E328" s="15" t="str">
        <x:v>过滤方程与过滤常数</x:v>
      </x:c>
      <x:c r="F328" s="15" t="str">
        <x:v>|S3|</x:v>
      </x:c>
      <x:c r="G328" s="21" t="str">
        <x:v>板框式过滤机过滤操作的总推动力是什么?过滤阻力由哪几部分组成?当量滤饼 厚度指的是什么？</x:v>
      </x:c>
      <x:c r="H328" s="15" t="str">
        <x:v>B</x:v>
      </x:c>
      <x:c r="I328" s="15" t="str">
        <x:v>76</x:v>
      </x:c>
      <x:c r="J328" s="15" t="str">
        <x:v>汇编题卷（未核实官方原卷）</x:v>
      </x:c>
      <x:c r="K328" s="22" t="str">
        <x:v>扫描题干摘录，公式与数值做题前核对原PDF。</x:v>
      </x:c>
    </x:row>
    <x:row r="329" ht="66" customHeight="1">
      <x:c r="A329" s="18" t="n">
        <x:v>2023</x:v>
      </x:c>
      <x:c r="B329" s="19" t="str">
        <x:v>2023年 二、简答第4题</x:v>
      </x:c>
      <x:c r="C329" s="19" t="str">
        <x:v>简答</x:v>
      </x:c>
      <x:c r="D329" s="20" t="n">
        <x:v>10</x:v>
      </x:c>
      <x:c r="E329" s="15" t="str">
        <x:v>双膜理论、控制阻力与传质系数</x:v>
      </x:c>
      <x:c r="F329" s="15" t="str">
        <x:v>|A2|</x:v>
      </x:c>
      <x:c r="G329" s="21" t="str">
        <x:v>简述双膜理论模型的主要内容及意义。</x:v>
      </x:c>
      <x:c r="H329" s="15" t="str">
        <x:v>B</x:v>
      </x:c>
      <x:c r="I329" s="15" t="str">
        <x:v>76</x:v>
      </x:c>
      <x:c r="J329" s="15" t="str">
        <x:v>汇编题卷（未核实官方原卷）</x:v>
      </x:c>
      <x:c r="K329" s="22" t="str">
        <x:v>扫描题干摘录，公式与数值做题前核对原PDF。</x:v>
      </x:c>
    </x:row>
    <x:row r="330" ht="66" customHeight="1">
      <x:c r="A330" s="18" t="n">
        <x:v>2023</x:v>
      </x:c>
      <x:c r="B330" s="19" t="str">
        <x:v>2023年 二、简答第5题</x:v>
      </x:c>
      <x:c r="C330" s="19" t="str">
        <x:v>简答</x:v>
      </x:c>
      <x:c r="D330" s="20" t="n">
        <x:v>10</x:v>
      </x:c>
      <x:c r="E330" s="15" t="str">
        <x:v>精馏衡算、操作线与进料热状态</x:v>
      </x:c>
      <x:c r="F330" s="15" t="str">
        <x:v>|D2|</x:v>
      </x:c>
      <x:c r="G330" s="21" t="str">
        <x:v>简述精馏原理和实现精馏的必要条件。</x:v>
      </x:c>
      <x:c r="H330" s="15" t="str">
        <x:v>B</x:v>
      </x:c>
      <x:c r="I330" s="15" t="str">
        <x:v>76</x:v>
      </x:c>
      <x:c r="J330" s="15" t="str">
        <x:v>汇编题卷（未核实官方原卷）</x:v>
      </x:c>
      <x:c r="K330" s="22" t="str">
        <x:v>扫描题干摘录，公式与数值做题前核对原PDF。</x:v>
      </x:c>
    </x:row>
    <x:row r="331" ht="66" customHeight="1">
      <x:c r="A331" s="18" t="n">
        <x:v>2023</x:v>
      </x:c>
      <x:c r="B331" s="19" t="str">
        <x:v>2023年 三、计算第1题</x:v>
      </x:c>
      <x:c r="C331" s="19" t="str">
        <x:v>计算</x:v>
      </x:c>
      <x:c r="D331" s="20"/>
      <x:c r="E331" s="15" t="str">
        <x:v>泵特性、工作点、调节与功率</x:v>
      </x:c>
      <x:c r="F331" s="15" t="str">
        <x:v>|P1|F2|F3|</x:v>
      </x:c>
      <x:c r="G331" s="21" t="str">
        <x:v>从水池用离心泵向一口高位槽送溶液，两者之间高度为18.52m,在输送范围内，离 心泵在该转速下的特性曲线方程为H=38-0.02Q2(Q单位为m2/h,H单位为m).输送管路 的管径为60x3mm，管路总长（包括除出口阀门以外其余局部阻力当量长度)为60m， 离心泵出口阀门全开时输液量为21m2/h.现将离心泵出口阀门关小，体积流量变为原 来的0.89倍，已知水池和高位槽液面均维持稳定，操作条件下溶液密度为1260kg/m²， 阀门开度变化前后，管内流动摩擦系数均为入=0.02. (1)阀门全开时，出口阀门阻力系数为多少？ (2)阀门关小后，若离心泵的效率为0.7,求泵的有效功率和轴功率？</x:v>
      </x:c>
      <x:c r="H331" s="15" t="str">
        <x:v>B</x:v>
      </x:c>
      <x:c r="I331" s="15" t="str">
        <x:v>76</x:v>
      </x:c>
      <x:c r="J331" s="15" t="str">
        <x:v>汇编题卷（未核实官方原卷）</x:v>
      </x:c>
      <x:c r="K331" s="22" t="str">
        <x:v>扫描题干摘录，公式与数值做题前核对原PDF。</x:v>
      </x:c>
    </x:row>
    <x:row r="332" ht="66" customHeight="1">
      <x:c r="A332" s="18" t="n">
        <x:v>2023</x:v>
      </x:c>
      <x:c r="B332" s="19" t="str">
        <x:v>2023年 三、计算第2题</x:v>
      </x:c>
      <x:c r="C332" s="19" t="str">
        <x:v>计算</x:v>
      </x:c>
      <x:c r="D332" s="20"/>
      <x:c r="E332" s="15" t="str">
        <x:v>换热器设计、校核与操作计算</x:v>
      </x:c>
      <x:c r="F332" s="15" t="str">
        <x:v>|H4|H2|H3|</x:v>
      </x:c>
      <x:c r="G332" s="21" t="str">
        <x:v>一管壳式换热器由38根25mm×2.5mm,长4m的无缝钢管组成，110°℃的饱和蒸 汽通入壳程，加热管程中的甲苯，甲苯流量为7kg/s，入口温度为30℃，出口温 ℃)，管壁热阻和蒸汽侧垢层热阻可忽略。 (1)开始时甲苯侧的对流传热系数为多少？ (2)由于污垢积累，甲苯出口温度变为68℃，此时甲苯侧污垢热阻为多少？ (3)若仍使甲苯出口温度维持在72℃，饱和蒸汽的温度应为多少？</x:v>
      </x:c>
      <x:c r="H332" s="15" t="str">
        <x:v>B</x:v>
      </x:c>
      <x:c r="I332" s="15" t="str">
        <x:v>77</x:v>
      </x:c>
      <x:c r="J332" s="15" t="str">
        <x:v>汇编题卷（未核实官方原卷）</x:v>
      </x:c>
      <x:c r="K332" s="22" t="str">
        <x:v>扫描题干摘录，公式与数值做题前核对原PDF。</x:v>
      </x:c>
    </x:row>
    <x:row r="333" ht="66" customHeight="1">
      <x:c r="A333" s="18" t="n">
        <x:v>2023</x:v>
      </x:c>
      <x:c r="B333" s="19" t="str">
        <x:v>2023年 三、计算第3题</x:v>
      </x:c>
      <x:c r="C333" s="19" t="str">
        <x:v>计算</x:v>
      </x:c>
      <x:c r="D333" s="20"/>
      <x:c r="E333" s="15" t="str">
        <x:v>精馏衡算、操作线与进料热状态</x:v>
      </x:c>
      <x:c r="F333" s="15" t="str">
        <x:v>|D2|D4|D3|D1|</x:v>
      </x:c>
      <x:c r="G333" s="21" t="str">
        <x:v>在一连续精馏塔内分离某两组分理想溶液。已知进料组成为0.45(摩尔分数， 下同),泡点进料，塔顶馏出液为0.85,残液组成为008：塔顶采用全凝器，泡点 回流，塔底采用间接蒸汽加热，操作回流比为最小回流比的1.575倍，操作条件 下物系的平均相对挥发度为2.78。 (1)塔顶采出率和塔底重组分回收率为多少？ (2)求最小回流比，精馏操作方程和提馏操作方程。 (3)若塔板的液相默弗里板效率E=0.65，求离开塔顶第二块板的气相组成。</x:v>
      </x:c>
      <x:c r="H333" s="15" t="str">
        <x:v>B</x:v>
      </x:c>
      <x:c r="I333" s="15" t="str">
        <x:v>77</x:v>
      </x:c>
      <x:c r="J333" s="15" t="str">
        <x:v>汇编题卷（未核实官方原卷）</x:v>
      </x:c>
      <x:c r="K333" s="22" t="str">
        <x:v>扫描题干摘录，公式与数值做题前核对原PDF。</x:v>
      </x:c>
    </x:row>
    <x:row r="334" ht="66" customHeight="1">
      <x:c r="A334" s="18" t="n">
        <x:v>2023</x:v>
      </x:c>
      <x:c r="B334" s="19" t="str">
        <x:v>2023年 三、计算第4题</x:v>
      </x:c>
      <x:c r="C334" s="19" t="str">
        <x:v>计算</x:v>
      </x:c>
      <x:c r="D334" s="20"/>
      <x:c r="E334" s="15" t="str">
        <x:v>传质单元、填料高度与理论级</x:v>
      </x:c>
      <x:c r="F334" s="15" t="str">
        <x:v>|A4|A3|</x:v>
      </x:c>
      <x:c r="G334" s="21" t="str">
        <x:v>在逆流操作中，填料板吸收塔用清水吸收SO2，塔高4m，进入塔的混合气体中SO2摩 尔分数0.03，出塔的气相SO2摩尔分数0.005，出塔的液相SO2摩尔分数0.004，忽略操 作温度变化，平衡关系ye=6x(ye、x分别为气相和液相溶质的摩尔分率) (1)操作液气比与最小液气比的比值是多少? (2)求填料塔的HoG。</x:v>
      </x:c>
      <x:c r="H334" s="15" t="str">
        <x:v>B</x:v>
      </x:c>
      <x:c r="I334" s="15" t="str">
        <x:v>77</x:v>
      </x:c>
      <x:c r="J334" s="15" t="str">
        <x:v>汇编题卷（未核实官方原卷）</x:v>
      </x:c>
      <x:c r="K334" s="22" t="str">
        <x:v>扫描题干摘录，公式与数值做题前核对原PDF。</x:v>
      </x:c>
    </x:row>
    <x:row r="335" ht="66" customHeight="1">
      <x:c r="A335" s="18" t="n">
        <x:v>2024</x:v>
      </x:c>
      <x:c r="B335" s="19" t="str">
        <x:v>2024年 一、填空第1题</x:v>
      </x:c>
      <x:c r="C335" s="19" t="str">
        <x:v>填空</x:v>
      </x:c>
      <x:c r="D335" s="20"/>
      <x:c r="E335" s="15" t="str">
        <x:v>黏性、Re、流型与管路阻力</x:v>
      </x:c>
      <x:c r="F335" s="15" t="str">
        <x:v>|F3|</x:v>
      </x:c>
      <x:c r="G335" s="21" t="str">
        <x:v>水在内径一定的圆管中稳定流动，水欣恒定，水温升高，Re值将</x:v>
      </x:c>
      <x:c r="H335" s="15" t="str">
        <x:v>B</x:v>
      </x:c>
      <x:c r="I335" s="15" t="str">
        <x:v>78</x:v>
      </x:c>
      <x:c r="J335" s="15" t="str">
        <x:v>汇编题卷（未核实官方原卷）</x:v>
      </x:c>
      <x:c r="K335" s="22" t="str">
        <x:v>扫描题干摘录，公式与数值做题前核对原PDF。</x:v>
      </x:c>
    </x:row>
    <x:row r="336" ht="66" customHeight="1">
      <x:c r="A336" s="18" t="n">
        <x:v>2024</x:v>
      </x:c>
      <x:c r="B336" s="19" t="str">
        <x:v>2024年 一、填空第2题</x:v>
      </x:c>
      <x:c r="C336" s="19" t="str">
        <x:v>填空</x:v>
      </x:c>
      <x:c r="D336" s="20"/>
      <x:c r="E336" s="15" t="str">
        <x:v>测速管、孔板与转子流量计</x:v>
      </x:c>
      <x:c r="F336" s="15" t="str">
        <x:v>|F5|</x:v>
      </x:c>
      <x:c r="G336" s="21" t="str">
        <x:v>流量增大，流体流经转干流量计的阻力拟失将</x:v>
      </x:c>
      <x:c r="H336" s="15" t="str">
        <x:v>B</x:v>
      </x:c>
      <x:c r="I336" s="15" t="str">
        <x:v>78</x:v>
      </x:c>
      <x:c r="J336" s="15" t="str">
        <x:v>汇编题卷（未核实官方原卷）</x:v>
      </x:c>
      <x:c r="K336" s="22" t="str">
        <x:v>扫描题干摘录，公式与数值做题前核对原PDF。</x:v>
      </x:c>
    </x:row>
    <x:row r="337" ht="66" customHeight="1">
      <x:c r="A337" s="18" t="n">
        <x:v>2024</x:v>
      </x:c>
      <x:c r="B337" s="19" t="str">
        <x:v>2024年 一、填空第3题</x:v>
      </x:c>
      <x:c r="C337" s="19" t="str">
        <x:v>填空</x:v>
      </x:c>
      <x:c r="D337" s="20"/>
      <x:c r="E337" s="15" t="str">
        <x:v>泵特性、工作点、调节与功率</x:v>
      </x:c>
      <x:c r="F337" s="15" t="str">
        <x:v>|P1|</x:v>
      </x:c>
      <x:c r="G337" s="21" t="str">
        <x:v>用离心泵将罐内料液送至商位槽，由于某种原因，中料液面升而，管路特性不 变，此时流将_，扬程将</x:v>
      </x:c>
      <x:c r="H337" s="15" t="str">
        <x:v>B</x:v>
      </x:c>
      <x:c r="I337" s="15" t="str">
        <x:v>78</x:v>
      </x:c>
      <x:c r="J337" s="15" t="str">
        <x:v>汇编题卷（未核实官方原卷）</x:v>
      </x:c>
      <x:c r="K337" s="22" t="str">
        <x:v>扫描题干摘录，公式与数值做题前核对原PDF。</x:v>
      </x:c>
    </x:row>
    <x:row r="338" ht="66" customHeight="1">
      <x:c r="A338" s="18" t="n">
        <x:v>2024</x:v>
      </x:c>
      <x:c r="B338" s="19" t="str">
        <x:v>2024年 一、填空第4题</x:v>
      </x:c>
      <x:c r="C338" s="19" t="str">
        <x:v>填空</x:v>
      </x:c>
      <x:c r="D338" s="20"/>
      <x:c r="E338" s="15" t="str">
        <x:v>汽蚀、气缚、安装与开停</x:v>
      </x:c>
      <x:c r="F338" s="15" t="str">
        <x:v>|P2|</x:v>
      </x:c>
      <x:c r="G338" s="21" t="str">
        <x:v>一台离心泵在冬天时能正常输送池塘的水，夏天后泵的允许安装高度会 此时泵更容易发生 现象。</x:v>
      </x:c>
      <x:c r="H338" s="15" t="str">
        <x:v>B</x:v>
      </x:c>
      <x:c r="I338" s="15" t="str">
        <x:v>78</x:v>
      </x:c>
      <x:c r="J338" s="15" t="str">
        <x:v>汇编题卷（未核实官方原卷）</x:v>
      </x:c>
      <x:c r="K338" s="22" t="str">
        <x:v>扫描题干摘录，公式与数值做题前核对原PDF。</x:v>
      </x:c>
    </x:row>
    <x:row r="339" ht="66" customHeight="1">
      <x:c r="A339" s="18" t="n">
        <x:v>2024</x:v>
      </x:c>
      <x:c r="B339" s="19" t="str">
        <x:v>2024年 一、填空第5题</x:v>
      </x:c>
      <x:c r="C339" s="19" t="str">
        <x:v>填空</x:v>
      </x:c>
      <x:c r="D339" s="20"/>
      <x:c r="E339" s="15" t="str">
        <x:v>对流传热、准数与膜系数</x:v>
      </x:c>
      <x:c r="F339" s="15" t="str">
        <x:v>|H2|</x:v>
      </x:c>
      <x:c r="G339" s="21" t="str">
        <x:v>在对流传热中，流体点的宏观位移是因流体中各温度不同形成的密度差引起的 这种对流称为</x:v>
      </x:c>
      <x:c r="H339" s="15" t="str">
        <x:v>B</x:v>
      </x:c>
      <x:c r="I339" s="15" t="str">
        <x:v>78</x:v>
      </x:c>
      <x:c r="J339" s="15" t="str">
        <x:v>汇编题卷（未核实官方原卷）</x:v>
      </x:c>
      <x:c r="K339" s="22" t="str">
        <x:v>扫描题干摘录，公式与数值做题前核对原PDF。</x:v>
      </x:c>
    </x:row>
    <x:row r="340" ht="66" customHeight="1">
      <x:c r="A340" s="18" t="n">
        <x:v>2024</x:v>
      </x:c>
      <x:c r="B340" s="19" t="str">
        <x:v>2024年 一、填空第6题</x:v>
      </x:c>
      <x:c r="C340" s="19" t="str">
        <x:v>填空</x:v>
      </x:c>
      <x:c r="D340" s="20"/>
      <x:c r="E340" s="15" t="str">
        <x:v>颗粒粒径、沉降与降尘室</x:v>
      </x:c>
      <x:c r="F340" s="15" t="str">
        <x:v>|S1|</x:v>
      </x:c>
      <x:c r="G340" s="21" t="str">
        <x:v>在降尘室中，如仅增加降尘室高度，其最大生产能</x:v>
      </x:c>
      <x:c r="H340" s="15" t="str">
        <x:v>B</x:v>
      </x:c>
      <x:c r="I340" s="15" t="str">
        <x:v>78</x:v>
      </x:c>
      <x:c r="J340" s="15" t="str">
        <x:v>汇编题卷（未核实官方原卷）</x:v>
      </x:c>
      <x:c r="K340" s="22" t="str">
        <x:v>扫描题干摘录，公式与数值做题前核对原PDF。</x:v>
      </x:c>
    </x:row>
    <x:row r="341" ht="66" customHeight="1">
      <x:c r="A341" s="18" t="n">
        <x:v>2024</x:v>
      </x:c>
      <x:c r="B341" s="19" t="str">
        <x:v>2024年 一、填空第7题</x:v>
      </x:c>
      <x:c r="C341" s="19" t="str">
        <x:v>填空</x:v>
      </x:c>
      <x:c r="D341" s="20"/>
      <x:c r="E341" s="15" t="str">
        <x:v>分子扩散、费克定律与总体流动</x:v>
      </x:c>
      <x:c r="F341" s="15" t="str">
        <x:v>|M1|</x:v>
      </x:c>
      <x:c r="G341" s="21" t="str">
        <x:v>一般情况下，在相同温度压力下，同一组分在液体中的扩系微 其在气体 中的扩散系数。</x:v>
      </x:c>
      <x:c r="H341" s="15" t="str">
        <x:v>B</x:v>
      </x:c>
      <x:c r="I341" s="15" t="str">
        <x:v>78</x:v>
      </x:c>
      <x:c r="J341" s="15" t="str">
        <x:v>汇编题卷（未核实官方原卷）</x:v>
      </x:c>
      <x:c r="K341" s="22" t="str">
        <x:v>扫描题干摘录，公式与数值做题前核对原PDF。</x:v>
      </x:c>
    </x:row>
    <x:row r="342" ht="66" customHeight="1">
      <x:c r="A342" s="18" t="n">
        <x:v>2024</x:v>
      </x:c>
      <x:c r="B342" s="19" t="str">
        <x:v>2024年 一、填空第8题</x:v>
      </x:c>
      <x:c r="C342" s="19" t="str">
        <x:v>填空</x:v>
      </x:c>
      <x:c r="D342" s="20"/>
      <x:c r="E342" s="15" t="str">
        <x:v>逐板计算、理论板与板效率</x:v>
      </x:c>
      <x:c r="F342" s="15" t="str">
        <x:v>|D3|D4|D1|</x:v>
      </x:c>
      <x:c r="G342" s="21" t="str">
        <x:v>某二元理想物系全回流精馏，已知相对挥发度2.47及一块理论板的液相组成，求相邻理论板的气液相组成。（原题板号及符号需核对。）</x:v>
      </x:c>
      <x:c r="H342" s="15" t="str">
        <x:v>B</x:v>
      </x:c>
      <x:c r="I342" s="15" t="str">
        <x:v>78</x:v>
      </x:c>
      <x:c r="J342" s="15" t="str">
        <x:v>汇编题卷（未核实官方原卷）</x:v>
      </x:c>
      <x:c r="K342" s="22" t="str">
        <x:v>原题中板号文字与符号存在矛盾；仅计板间相平衡考点。</x:v>
      </x:c>
    </x:row>
    <x:row r="343" ht="66" customHeight="1">
      <x:c r="A343" s="18" t="n">
        <x:v>2024</x:v>
      </x:c>
      <x:c r="B343" s="19" t="str">
        <x:v>2024年 一、填空第9题</x:v>
      </x:c>
      <x:c r="C343" s="19" t="str">
        <x:v>填空</x:v>
      </x:c>
      <x:c r="D343" s="20"/>
      <x:c r="E343" s="15" t="str">
        <x:v>物料衡算、操作线与最小液气比</x:v>
      </x:c>
      <x:c r="F343" s="15" t="str">
        <x:v>|A3|A1|</x:v>
      </x:c>
      <x:c r="G343" s="21" t="str">
        <x:v>在填料塔中用清水逆流吸收混合气体中的溶质A，入塔气体A含量为Y=6%，操 作过程中，吸收剂与情性气体度尔流量比为4，气液的平衡关系为Y=5X，则溶质A 的最大吸收率为，若将操作压力提高到原来的2倍，A的最大吸收率为</x:v>
      </x:c>
      <x:c r="H343" s="15" t="str">
        <x:v>B</x:v>
      </x:c>
      <x:c r="I343" s="15" t="str">
        <x:v>78</x:v>
      </x:c>
      <x:c r="J343" s="15" t="str">
        <x:v>汇编题卷（未核实官方原卷）</x:v>
      </x:c>
      <x:c r="K343" s="22" t="str">
        <x:v>扫描题干摘录，公式与数值做题前核对原PDF。</x:v>
      </x:c>
    </x:row>
    <x:row r="344" ht="66" customHeight="1">
      <x:c r="A344" s="18" t="n">
        <x:v>2024</x:v>
      </x:c>
      <x:c r="B344" s="19" t="str">
        <x:v>2024年 一、填空第10题</x:v>
      </x:c>
      <x:c r="C344" s="19" t="str">
        <x:v>填空</x:v>
      </x:c>
      <x:c r="D344" s="20"/>
      <x:c r="E344" s="15" t="str">
        <x:v>选择性、分配系数与单级萃取</x:v>
      </x:c>
      <x:c r="F344" s="15" t="str">
        <x:v>|X1|</x:v>
      </x:c>
      <x:c r="G344" s="21" t="str">
        <x:v>用水做萃取剂（S）对酷酸（A）-苯（B）混合液进行萃取分离，已知萃取相组 成为yx=0.6，yg=0.05，ys=0.35；萃余相组成为X=0.15，Xe=0.8，Xs=0.05,则溶质A 的分配系效A=选择性系数B=，萃取液中组成比=</x:v>
      </x:c>
      <x:c r="H344" s="15" t="str">
        <x:v>B</x:v>
      </x:c>
      <x:c r="I344" s="15" t="str">
        <x:v>78</x:v>
      </x:c>
      <x:c r="J344" s="15" t="str">
        <x:v>汇编题卷（未核实官方原卷）</x:v>
      </x:c>
      <x:c r="K344" s="22" t="str">
        <x:v>扫描题干摘录，公式与数值做题前核对原PDF。</x:v>
      </x:c>
    </x:row>
    <x:row r="345" ht="66" customHeight="1">
      <x:c r="A345" s="18" t="n">
        <x:v>2024</x:v>
      </x:c>
      <x:c r="B345" s="19" t="str">
        <x:v>2024年 一、填空第11题</x:v>
      </x:c>
      <x:c r="C345" s="19" t="str">
        <x:v>填空</x:v>
      </x:c>
      <x:c r="D345" s="20"/>
      <x:c r="E345" s="15" t="str">
        <x:v>亨利定律、平衡与传质方向</x:v>
      </x:c>
      <x:c r="F345" s="15" t="str">
        <x:v>|A1|</x:v>
      </x:c>
      <x:c r="G345" s="21" t="str">
        <x:v>气体吸收过程中，亨利系数E很小时说明该气体为（易、难）溶气体，当 温度升高时，E会—（增大/减小不确定），H会（增大/减小/不确定）</x:v>
      </x:c>
      <x:c r="H345" s="15" t="str">
        <x:v>B</x:v>
      </x:c>
      <x:c r="I345" s="15" t="str">
        <x:v>78</x:v>
      </x:c>
      <x:c r="J345" s="15" t="str">
        <x:v>汇编题卷（未核实官方原卷）</x:v>
      </x:c>
      <x:c r="K345" s="22" t="str">
        <x:v>扫描题干摘录，公式与数值做题前核对原PDF。</x:v>
      </x:c>
    </x:row>
    <x:row r="346" ht="66" customHeight="1">
      <x:c r="A346" s="18" t="n">
        <x:v>2024</x:v>
      </x:c>
      <x:c r="B346" s="19" t="str">
        <x:v>2024年 一、填空第12题</x:v>
      </x:c>
      <x:c r="C346" s="19" t="str">
        <x:v>填空</x:v>
      </x:c>
      <x:c r="D346" s="20"/>
      <x:c r="E346" s="15" t="str">
        <x:v>精馏衡算、操作线与进料热状态</x:v>
      </x:c>
      <x:c r="F346" s="15" t="str">
        <x:v>|D2|D4|</x:v>
      </x:c>
      <x:c r="G346" s="21" t="str">
        <x:v>当q线方程为y=xF，判断进料热状态与q值；当变为气液混合进料时，判断xD、xW变化。</x:v>
      </x:c>
      <x:c r="H346" s="15" t="str">
        <x:v>B</x:v>
      </x:c>
      <x:c r="I346" s="15" t="str">
        <x:v>78</x:v>
      </x:c>
      <x:c r="J346" s="15" t="str">
        <x:v>汇编题卷（未核实官方原卷）</x:v>
      </x:c>
      <x:c r="K346" s="22" t="str">
        <x:v>扫描题干摘录，公式与数值做题前核对原PDF。</x:v>
      </x:c>
    </x:row>
    <x:row r="347" ht="66" customHeight="1">
      <x:c r="A347" s="18" t="n">
        <x:v>2024</x:v>
      </x:c>
      <x:c r="B347" s="19" t="str">
        <x:v>2024年 二、选择第1题</x:v>
      </x:c>
      <x:c r="C347" s="19" t="str">
        <x:v>选择</x:v>
      </x:c>
      <x:c r="D347" s="20"/>
      <x:c r="E347" s="15" t="str">
        <x:v>简单、间歇与特殊蒸馏</x:v>
      </x:c>
      <x:c r="F347" s="15" t="str">
        <x:v>|D5|</x:v>
      </x:c>
      <x:c r="G347" s="21" t="str">
        <x:v>以下哪个蒸馏过程不需要加入第三组分（） A、水蒸气蒸馏B、简单燕馏C、恒沸蒸馏D、萃取精馏</x:v>
      </x:c>
      <x:c r="H347" s="15" t="str">
        <x:v>B</x:v>
      </x:c>
      <x:c r="I347" s="15" t="str">
        <x:v>79</x:v>
      </x:c>
      <x:c r="J347" s="15" t="str">
        <x:v>汇编题卷（未核实官方原卷）</x:v>
      </x:c>
      <x:c r="K347" s="22" t="str">
        <x:v>扫描题干摘录，公式与数值做题前核对原PDF。</x:v>
      </x:c>
    </x:row>
    <x:row r="348" ht="66" customHeight="1">
      <x:c r="A348" s="18" t="n">
        <x:v>2024</x:v>
      </x:c>
      <x:c r="B348" s="19" t="str">
        <x:v>2024年 二、选择第2题</x:v>
      </x:c>
      <x:c r="C348" s="19" t="str">
        <x:v>选择</x:v>
      </x:c>
      <x:c r="D348" s="20"/>
      <x:c r="E348" s="15" t="str">
        <x:v>分子扩散、费克定律与总体流动</x:v>
      </x:c>
      <x:c r="F348" s="15" t="str">
        <x:v>|M1|</x:v>
      </x:c>
      <x:c r="G348" s="21" t="str">
        <x:v>传质系数等于扩系数的是哪个（） A、湍流B、静止C、强制对流D、自然对流</x:v>
      </x:c>
      <x:c r="H348" s="15" t="str">
        <x:v>B</x:v>
      </x:c>
      <x:c r="I348" s="15" t="str">
        <x:v>79</x:v>
      </x:c>
      <x:c r="J348" s="15" t="str">
        <x:v>汇编题卷（未核实官方原卷）</x:v>
      </x:c>
      <x:c r="K348" s="22" t="str">
        <x:v>扫描题干摘录，公式与数值做题前核对原PDF。</x:v>
      </x:c>
    </x:row>
    <x:row r="349" ht="66" customHeight="1">
      <x:c r="A349" s="18" t="n">
        <x:v>2024</x:v>
      </x:c>
      <x:c r="B349" s="19" t="str">
        <x:v>2024年 二、选择第3题</x:v>
      </x:c>
      <x:c r="C349" s="19" t="str">
        <x:v>选择</x:v>
      </x:c>
      <x:c r="D349" s="20"/>
      <x:c r="E349" s="15" t="str">
        <x:v>题干残缺，待核对</x:v>
      </x:c>
      <x:c r="F349" s="15" t="str"/>
      <x:c r="G349" s="21" t="str">
        <x:v>R小于R小于 R，问Q1,Q2，Qs比较_，q1， q2， g1比较·</x:v>
      </x:c>
      <x:c r="H349" s="15" t="str">
        <x:v>B</x:v>
      </x:c>
      <x:c r="I349" s="15" t="str">
        <x:v>79</x:v>
      </x:c>
      <x:c r="J349" s="15" t="str">
        <x:v>汇编题卷（未核实官方原卷）</x:v>
      </x:c>
      <x:c r="K349" s="22" t="str">
        <x:v>原汇编题干残缺，只见半径与Q/q比较，知识点不确定；不计入知识点频次。</x:v>
      </x:c>
    </x:row>
    <x:row r="350" ht="66" customHeight="1">
      <x:c r="A350" s="18" t="n">
        <x:v>2024</x:v>
      </x:c>
      <x:c r="B350" s="19" t="str">
        <x:v>2024年 二、选择第4题</x:v>
      </x:c>
      <x:c r="C350" s="19" t="str">
        <x:v>选择</x:v>
      </x:c>
      <x:c r="D350" s="20"/>
      <x:c r="E350" s="15" t="str">
        <x:v>换热器设计、校核与操作计算</x:v>
      </x:c>
      <x:c r="F350" s="15" t="str">
        <x:v>|H4|H5|</x:v>
      </x:c>
      <x:c r="G350" s="21" t="str">
        <x:v>对于同一换热器，当K不变时，以下哪种情况会使得换热面积最大（） A、逆流传热B、折流传热C、错流传热D、并流传热</x:v>
      </x:c>
      <x:c r="H350" s="15" t="str">
        <x:v>B</x:v>
      </x:c>
      <x:c r="I350" s="15" t="str">
        <x:v>79</x:v>
      </x:c>
      <x:c r="J350" s="15" t="str">
        <x:v>汇编题卷（未核实官方原卷）</x:v>
      </x:c>
      <x:c r="K350" s="22" t="str">
        <x:v>扫描题干摘录，公式与数值做题前核对原PDF。</x:v>
      </x:c>
    </x:row>
    <x:row r="351" ht="66" customHeight="1">
      <x:c r="A351" s="18" t="n">
        <x:v>2024</x:v>
      </x:c>
      <x:c r="B351" s="19" t="str">
        <x:v>2024年 二、选择第5题</x:v>
      </x:c>
      <x:c r="C351" s="19" t="str">
        <x:v>选择</x:v>
      </x:c>
      <x:c r="D351" s="20"/>
      <x:c r="E351" s="15" t="str">
        <x:v>换热器设计、校核与操作计算</x:v>
      </x:c>
      <x:c r="F351" s="15" t="str">
        <x:v>|H4|H3|</x:v>
      </x:c>
      <x:c r="G351" s="21" t="str">
        <x:v>用冷却水冷却一有机液体，该过程为无相变换热过程，刚开始换热器可正常运行， 一段时间后，传热速率有所下降，以下原因中最不可能的足： A、换热器结垢 B、冷凝液没有排出 C、冷却水的流量减小 D、冷却水的入口温度升高</x:v>
      </x:c>
      <x:c r="H351" s="15" t="str">
        <x:v>B</x:v>
      </x:c>
      <x:c r="I351" s="15" t="str">
        <x:v>79</x:v>
      </x:c>
      <x:c r="J351" s="15" t="str">
        <x:v>汇编题卷（未核实官方原卷）</x:v>
      </x:c>
      <x:c r="K351" s="22" t="str">
        <x:v>扫描题干摘录，公式与数值做题前核对原PDF。</x:v>
      </x:c>
    </x:row>
    <x:row r="352" ht="66" customHeight="1">
      <x:c r="A352" s="18" t="n">
        <x:v>2024</x:v>
      </x:c>
      <x:c r="B352" s="19" t="str">
        <x:v>2024年 三、简答第1题</x:v>
      </x:c>
      <x:c r="C352" s="19" t="str">
        <x:v>简答</x:v>
      </x:c>
      <x:c r="D352" s="20"/>
      <x:c r="E352" s="15" t="str">
        <x:v>流程选择、设备结构与强化</x:v>
      </x:c>
      <x:c r="F352" s="15" t="str">
        <x:v>|H5|H3|H2|</x:v>
      </x:c>
      <x:c r="G352" s="21" t="str">
        <x:v>在某一固定管板式换热器内用蒸汽加热水水质原因易结垢，问水应走管程还是 壳程？原因？要以增加流速的方法增加换热器传热速率，应当增加蒸汽侧还是水侧 流速？原因？</x:v>
      </x:c>
      <x:c r="H352" s="15" t="str">
        <x:v>B</x:v>
      </x:c>
      <x:c r="I352" s="15" t="str">
        <x:v>79</x:v>
      </x:c>
      <x:c r="J352" s="15" t="str">
        <x:v>汇编题卷（未核实官方原卷）</x:v>
      </x:c>
      <x:c r="K352" s="22" t="str">
        <x:v>扫描题干摘录，公式与数值做题前核对原PDF。</x:v>
      </x:c>
    </x:row>
    <x:row r="353" ht="66" customHeight="1">
      <x:c r="A353" s="18" t="n">
        <x:v>2024</x:v>
      </x:c>
      <x:c r="B353" s="19" t="str">
        <x:v>2024年 三、简答第2题</x:v>
      </x:c>
      <x:c r="C353" s="19" t="str">
        <x:v>简答</x:v>
      </x:c>
      <x:c r="D353" s="20"/>
      <x:c r="E353" s="15" t="str">
        <x:v>板式 / 填料塔、液泛与负荷图</x:v>
      </x:c>
      <x:c r="F353" s="15" t="str">
        <x:v>|T1|</x:v>
      </x:c>
      <x:c r="G353" s="21" t="str">
        <x:v>简述板式塔在说明情况下发生液淡，井列举除液泛外的异常水力学现象人三条）</x:v>
      </x:c>
      <x:c r="H353" s="15" t="str">
        <x:v>B</x:v>
      </x:c>
      <x:c r="I353" s="15" t="str">
        <x:v>79</x:v>
      </x:c>
      <x:c r="J353" s="15" t="str">
        <x:v>汇编题卷（未核实官方原卷）</x:v>
      </x:c>
      <x:c r="K353" s="22" t="str">
        <x:v>扫描题干摘录，公式与数值做题前核对原PDF。</x:v>
      </x:c>
    </x:row>
    <x:row r="354" ht="66" customHeight="1">
      <x:c r="A354" s="18" t="n">
        <x:v>2024</x:v>
      </x:c>
      <x:c r="B354" s="19" t="str">
        <x:v>2024年 四、计算第1题</x:v>
      </x:c>
      <x:c r="C354" s="19" t="str">
        <x:v>计算</x:v>
      </x:c>
      <x:c r="D354" s="20"/>
      <x:c r="E354" s="15" t="str">
        <x:v>泵特性、工作点、调节与功率</x:v>
      </x:c>
      <x:c r="F354" s="15" t="str">
        <x:v>|P1|F2|F3|</x:v>
      </x:c>
      <x:c r="G354" s="21" t="str">
        <x:v>用离心泵将口蓄水池中的水送到10m处水塔（表压为0）输送量为Q=30m²/h， 总△L=150m（包括局部）.管子尺寸Φ114mm×4mm.入=0.02，求 （1）泵特性H=40-0.015Q².Q的单位为m²/h.H单位为m，计算泵是否可用？ （2）泵正常运转后，管路实际流量为多少mh？</x:v>
      </x:c>
      <x:c r="H354" s="15" t="str">
        <x:v>B</x:v>
      </x:c>
      <x:c r="I354" s="15" t="str">
        <x:v>79</x:v>
      </x:c>
      <x:c r="J354" s="15" t="str">
        <x:v>汇编题卷（未核实官方原卷）</x:v>
      </x:c>
      <x:c r="K354" s="22" t="str">
        <x:v>扫描题干摘录，公式与数值做题前核对原PDF。</x:v>
      </x:c>
    </x:row>
    <x:row r="355" ht="66" customHeight="1">
      <x:c r="A355" s="18" t="n">
        <x:v>2024</x:v>
      </x:c>
      <x:c r="B355" s="19" t="str">
        <x:v>2024年 四、计算第2题</x:v>
      </x:c>
      <x:c r="C355" s="19" t="str">
        <x:v>计算</x:v>
      </x:c>
      <x:c r="D355" s="20"/>
      <x:c r="E355" s="15" t="str">
        <x:v>换热器设计、校核与操作计算</x:v>
      </x:c>
      <x:c r="F355" s="15" t="str">
        <x:v>|H4|H2|H3|</x:v>
      </x:c>
      <x:c r="G355" s="21" t="str">
        <x:v>单光程单管程换热器，用120℃饱和蒸汇加热。干空气以12m/S的流迷内证过管 子为Φ38mmX2.5mm。n=200.空T进口温度为26℃，出口86℃，管和污垢热 忽略，求 （1）完成换热任务所福换热器最小传热面积为多少？（内表面为基准。总传热系数 可近似为空气侧对流传热系数） （2）若气体处理位。进口温度。管长均不变，径增大为Φ57mm×3.5mm。总管数 减少20%，此时空气出口温度为多少？（忽略热损失） 定性：温下空气的物性数据 p=1.005K]/KgK,p=1.07kg/m,μ.=1.99x10-SPa-S, A=0.0287W/(m°K)，Pr= 0.697</x:v>
      </x:c>
      <x:c r="H355" s="15" t="str">
        <x:v>B</x:v>
      </x:c>
      <x:c r="I355" s="15" t="str">
        <x:v>80</x:v>
      </x:c>
      <x:c r="J355" s="15" t="str">
        <x:v>汇编题卷（未核实官方原卷）</x:v>
      </x:c>
      <x:c r="K355" s="22" t="str">
        <x:v>扫描题干摘录，公式与数值做题前核对原PDF。</x:v>
      </x:c>
    </x:row>
    <x:row r="356" ht="66" customHeight="1">
      <x:c r="A356" s="18" t="n">
        <x:v>2024</x:v>
      </x:c>
      <x:c r="B356" s="19" t="str">
        <x:v>2024年 四、计算第3题</x:v>
      </x:c>
      <x:c r="C356" s="19" t="str">
        <x:v>计算</x:v>
      </x:c>
      <x:c r="D356" s="20"/>
      <x:c r="E356" s="15" t="str">
        <x:v>洗涤、板框 / 转筒与生产能力</x:v>
      </x:c>
      <x:c r="F356" s="15" t="str">
        <x:v>|S4|S3|</x:v>
      </x:c>
      <x:c r="G356" s="21" t="str">
        <x:v>含固机3%的某种恐浮液，用一板框式过滤机逃行运压过滤，滤框为300mm× 300mm×20mm，总框数10个.滤渣充满滤据2h、.解获得1m2滤液得滤饼0.053m². 滤饼不可压缩，过滤介质阻力忽略不让。紧选永粘度，洗涤的农压分别为滤液粘度. 过滤压误差相同，洗水体积为滤液体想的%，每次卸渣。消理，装卿等物时时间 总和为0.5h。 （1）求K （2）该过滤机生产能力</x:v>
      </x:c>
      <x:c r="H356" s="15" t="str">
        <x:v>B</x:v>
      </x:c>
      <x:c r="I356" s="15" t="str">
        <x:v>80</x:v>
      </x:c>
      <x:c r="J356" s="15" t="str">
        <x:v>汇编题卷（未核实官方原卷）</x:v>
      </x:c>
      <x:c r="K356" s="22" t="str">
        <x:v>扫描题干摘录，公式与数值做题前核对原PDF。</x:v>
      </x:c>
    </x:row>
    <x:row r="357" ht="66" customHeight="1">
      <x:c r="A357" s="18" t="n">
        <x:v>2024</x:v>
      </x:c>
      <x:c r="B357" s="19" t="str">
        <x:v>2024年 四、计算第4题</x:v>
      </x:c>
      <x:c r="C357" s="19" t="str">
        <x:v>计算</x:v>
      </x:c>
      <x:c r="D357" s="20"/>
      <x:c r="E357" s="15" t="str">
        <x:v>传质单元、填料高度与理论级</x:v>
      </x:c>
      <x:c r="F357" s="15" t="str">
        <x:v>|A4|A3|A2|</x:v>
      </x:c>
      <x:c r="G357" s="21" t="str">
        <x:v>在直径为Im，填料层高度为6m的逆流填料吸收塔中用纯溶液吸收某二元泥合气 中的溶质。入塔混合气体的流量为40kmolh，其中溶质摩尔分数为5%，婴求溶质吸 收串达到98%，液气比为最小液气比的1.6倍，该操作条件下的气液平衡关系为 Y=2.5X（Y，X分别为气相和液相中溶质的摩尔比）求 （1）溶剂的用量L（kmolh） （2）出塔液中溶质的含量（摩尔比） (3）求Ky</x:v>
      </x:c>
      <x:c r="H357" s="15" t="str">
        <x:v>B</x:v>
      </x:c>
      <x:c r="I357" s="15" t="str">
        <x:v>81</x:v>
      </x:c>
      <x:c r="J357" s="15" t="str">
        <x:v>汇编题卷（未核实官方原卷）</x:v>
      </x:c>
      <x:c r="K357" s="22" t="str">
        <x:v>扫描题干摘录，公式与数值做题前核对原PDF。</x:v>
      </x:c>
    </x:row>
    <x:row r="358" ht="66" customHeight="1">
      <x:c r="A358" s="18" t="n">
        <x:v>2024</x:v>
      </x:c>
      <x:c r="B358" s="19" t="str">
        <x:v>2024年 四、计算第5题</x:v>
      </x:c>
      <x:c r="C358" s="19" t="str">
        <x:v>计算</x:v>
      </x:c>
      <x:c r="D358" s="20"/>
      <x:c r="E358" s="15" t="str">
        <x:v>精馏衡算、操作线与进料热状态</x:v>
      </x:c>
      <x:c r="F358" s="15" t="str">
        <x:v>|D2|D4|D3|D1|</x:v>
      </x:c>
      <x:c r="G358" s="21" t="str">
        <x:v>设计一座连续精饲塔分离 元理想泥合物，进料为200kmolh.组成为0.45. 饱和液相进料，已知进入精细段某一块塔板液相和气相摩尔流品之比为2：3：塔板 均为理论板，宜恒摩尔流成立。塔顶馏出液组成0.965，塔签产品为110kmolh。 该条件下，该物系的平均相对挥发度为2.47.塔项设全凝器，泡点回流。塔签用回接 水然气加热，求： （1）塔顶产品回收率和塔企产品中难挥发组分的回收串。 （2）最小回流比和设计回流比 （3）精饰段，提蚀段操作线方程 （4）塔顶第一块塔板下降的液相组成</x:v>
      </x:c>
      <x:c r="H358" s="15" t="str">
        <x:v>B</x:v>
      </x:c>
      <x:c r="I358" s="15" t="str">
        <x:v>81</x:v>
      </x:c>
      <x:c r="J358" s="15" t="str">
        <x:v>汇编题卷（未核实官方原卷）</x:v>
      </x:c>
      <x:c r="K358" s="22" t="str">
        <x:v>扫描题干摘录，公式与数值做题前核对原PDF。</x:v>
      </x:c>
    </x:row>
    <x:row r="359" ht="66" customHeight="1">
      <x:c r="A359" s="18" t="n">
        <x:v>2025</x:v>
      </x:c>
      <x:c r="B359" s="19" t="str">
        <x:v>2025年 一、选择第1题</x:v>
      </x:c>
      <x:c r="C359" s="19" t="str">
        <x:v>选择</x:v>
      </x:c>
      <x:c r="D359" s="20" t="n">
        <x:v>2</x:v>
      </x:c>
      <x:c r="E359" s="15" t="str">
        <x:v>对流传热、准数与膜系数</x:v>
      </x:c>
      <x:c r="F359" s="15" t="str">
        <x:v>|H2|H6|</x:v>
      </x:c>
      <x:c r="G359" s="21" t="str">
        <x:v>对于对流传热系数的说法，下面说法错误的是：（） A.对于同种物质，在相同的相态下，自然对流时的传热系数通常小于强制对流 时的传热系数 B.对于同种物质，有相变的传热系数通常小于无相变的传热系数 C.对于同种物质，气态对流传热系数通常小于液态对流传热系数 D.对于同种物质，在相同的相态下，层流时的传热系数通常小于湍流时的传热 系数</x:v>
      </x:c>
      <x:c r="H359" s="15" t="str">
        <x:v>B</x:v>
      </x:c>
      <x:c r="I359" s="15" t="str">
        <x:v>82</x:v>
      </x:c>
      <x:c r="J359" s="15" t="str">
        <x:v>汇编题卷（未核实官方原卷）</x:v>
      </x:c>
      <x:c r="K359" s="22" t="str">
        <x:v>扫描题干摘录，公式与数值做题前核对原PDF。</x:v>
      </x:c>
    </x:row>
    <x:row r="360" ht="66" customHeight="1">
      <x:c r="A360" s="18" t="n">
        <x:v>2025</x:v>
      </x:c>
      <x:c r="B360" s="19" t="str">
        <x:v>2025年 一、选择第2题</x:v>
      </x:c>
      <x:c r="C360" s="19" t="str">
        <x:v>选择</x:v>
      </x:c>
      <x:c r="D360" s="20" t="n">
        <x:v>2</x:v>
      </x:c>
      <x:c r="E360" s="15" t="str">
        <x:v>总传热系数、热阻与壁温</x:v>
      </x:c>
      <x:c r="F360" s="15" t="str">
        <x:v>|H3|H4|</x:v>
      </x:c>
      <x:c r="G360" s="21" t="str">
        <x:v>在列管式换热器中，采用蒸汽加热河水，若河水结垢后，河水离开换热器时 的温度 A. 增大 B. 减小 C. 不变 D. 不确定</x:v>
      </x:c>
      <x:c r="H360" s="15" t="str">
        <x:v>B</x:v>
      </x:c>
      <x:c r="I360" s="15" t="str">
        <x:v>82</x:v>
      </x:c>
      <x:c r="J360" s="15" t="str">
        <x:v>汇编题卷（未核实官方原卷）</x:v>
      </x:c>
      <x:c r="K360" s="22" t="str">
        <x:v>扫描题干摘录，公式与数值做题前核对原PDF。</x:v>
      </x:c>
    </x:row>
    <x:row r="361" ht="66" customHeight="1">
      <x:c r="A361" s="18" t="n">
        <x:v>2025</x:v>
      </x:c>
      <x:c r="B361" s="19" t="str">
        <x:v>2025年 一、选择第3题</x:v>
      </x:c>
      <x:c r="C361" s="19" t="str">
        <x:v>选择</x:v>
      </x:c>
      <x:c r="D361" s="20" t="n">
        <x:v>2</x:v>
      </x:c>
      <x:c r="E361" s="15" t="str">
        <x:v>导热、保温与临界直径</x:v>
      </x:c>
      <x:c r="F361" s="15" t="str">
        <x:v>|H1|</x:v>
      </x:c>
      <x:c r="G361" s="21" t="str">
        <x:v>双层圆筒壁稳态热传导过程中，内层的热通量一—外层的热通量 A.大于 B.小于 C.等于 D. 不确定</x:v>
      </x:c>
      <x:c r="H361" s="15" t="str">
        <x:v>B</x:v>
      </x:c>
      <x:c r="I361" s="15" t="str">
        <x:v>82</x:v>
      </x:c>
      <x:c r="J361" s="15" t="str">
        <x:v>汇编题卷（未核实官方原卷）</x:v>
      </x:c>
      <x:c r="K361" s="22" t="str">
        <x:v>扫描题干摘录，公式与数值做题前核对原PDF。</x:v>
      </x:c>
    </x:row>
    <x:row r="362" ht="66" customHeight="1">
      <x:c r="A362" s="18" t="n">
        <x:v>2025</x:v>
      </x:c>
      <x:c r="B362" s="19" t="str">
        <x:v>2025年 一、选择第4题</x:v>
      </x:c>
      <x:c r="C362" s="19" t="str">
        <x:v>选择</x:v>
      </x:c>
      <x:c r="D362" s="20" t="n">
        <x:v>2</x:v>
      </x:c>
      <x:c r="E362" s="15" t="str">
        <x:v>旋风分离器与离心分离</x:v>
      </x:c>
      <x:c r="F362" s="15" t="str">
        <x:v>|S2|</x:v>
      </x:c>
      <x:c r="G362" s="21" t="str">
        <x:v>气固旋风分离器的操作温度升高时，则分离效率 A.增大 B.减小 C. 不变 D. 不确定</x:v>
      </x:c>
      <x:c r="H362" s="15" t="str">
        <x:v>B</x:v>
      </x:c>
      <x:c r="I362" s="15" t="str">
        <x:v>82、83</x:v>
      </x:c>
      <x:c r="J362" s="15" t="str">
        <x:v>汇编题卷（未核实官方原卷）</x:v>
      </x:c>
      <x:c r="K362" s="22" t="str">
        <x:v>扫描题干摘录，公式与数值做题前核对原PDF。</x:v>
      </x:c>
    </x:row>
    <x:row r="363" ht="66" customHeight="1">
      <x:c r="A363" s="18" t="n">
        <x:v>2025</x:v>
      </x:c>
      <x:c r="B363" s="19" t="str">
        <x:v>2025年 二、填空第1题</x:v>
      </x:c>
      <x:c r="C363" s="19" t="str">
        <x:v>填空</x:v>
      </x:c>
      <x:c r="D363" s="20"/>
      <x:c r="E363" s="15" t="str">
        <x:v>连续性、伯努利与管路计算</x:v>
      </x:c>
      <x:c r="F363" s="15" t="str">
        <x:v>|F2|</x:v>
      </x:c>
      <x:c r="G363" s="21" t="str">
        <x:v>液体从下至上流过垂直等径粗糙管，流动为稳态流动，则动能一（填“变 大”“变小”“不变”或“无法确定”）静压能一—（填“变大”“变小”“不 变”或“无法确定”）</x:v>
      </x:c>
      <x:c r="H363" s="15" t="str">
        <x:v>B</x:v>
      </x:c>
      <x:c r="I363" s="15" t="str">
        <x:v>83</x:v>
      </x:c>
      <x:c r="J363" s="15" t="str">
        <x:v>汇编题卷（未核实官方原卷）</x:v>
      </x:c>
      <x:c r="K363" s="22" t="str">
        <x:v>扫描题干摘录，公式与数值做题前核对原PDF。</x:v>
      </x:c>
    </x:row>
    <x:row r="364" ht="66" customHeight="1">
      <x:c r="A364" s="18" t="n">
        <x:v>2025</x:v>
      </x:c>
      <x:c r="B364" s="19" t="str">
        <x:v>2025年 二、填空第2题</x:v>
      </x:c>
      <x:c r="C364" s="19" t="str">
        <x:v>填空</x:v>
      </x:c>
      <x:c r="D364" s="20"/>
      <x:c r="E364" s="15" t="str">
        <x:v>黏性、Re、流型与管路阻力</x:v>
      </x:c>
      <x:c r="F364" s="15" t="str">
        <x:v>|F3|</x:v>
      </x:c>
      <x:c r="G364" s="21" t="str">
        <x:v>假设水在管内的流动状态处于阻力平方区，流经长2m的直管后阻力损失为 100J/Kg，假设流动形态与其他条件不变，流量提高到原来的2倍，则阻力损 失为一—J/Kg</x:v>
      </x:c>
      <x:c r="H364" s="15" t="str">
        <x:v>B</x:v>
      </x:c>
      <x:c r="I364" s="15" t="str">
        <x:v>83</x:v>
      </x:c>
      <x:c r="J364" s="15" t="str">
        <x:v>汇编题卷（未核实官方原卷）</x:v>
      </x:c>
      <x:c r="K364" s="22" t="str">
        <x:v>扫描题干摘录，公式与数值做题前核对原PDF。</x:v>
      </x:c>
    </x:row>
    <x:row r="365" ht="66" customHeight="1">
      <x:c r="A365" s="18" t="n">
        <x:v>2025</x:v>
      </x:c>
      <x:c r="B365" s="19" t="str">
        <x:v>2025年 二、填空第3题</x:v>
      </x:c>
      <x:c r="C365" s="19" t="str">
        <x:v>填空</x:v>
      </x:c>
      <x:c r="D365" s="20"/>
      <x:c r="E365" s="15" t="str">
        <x:v>分子扩散、费克定律与总体流动</x:v>
      </x:c>
      <x:c r="F365" s="15" t="str">
        <x:v>|M1|</x:v>
      </x:c>
      <x:c r="G365" s="21" t="str">
        <x:v>在静止的流体内部或在与层流流体流动方向垂直的方向上存在某种组分的浓 度差时，由于一—而引起的该组分由浓度高向浓度低处传递的现象称为分子 扩散。</x:v>
      </x:c>
      <x:c r="H365" s="15" t="str">
        <x:v>B</x:v>
      </x:c>
      <x:c r="I365" s="15" t="str">
        <x:v>83</x:v>
      </x:c>
      <x:c r="J365" s="15" t="str">
        <x:v>汇编题卷（未核实官方原卷）</x:v>
      </x:c>
      <x:c r="K365" s="22" t="str">
        <x:v>扫描题干摘录，公式与数值做题前核对原PDF。</x:v>
      </x:c>
    </x:row>
    <x:row r="366" ht="66" customHeight="1">
      <x:c r="A366" s="18" t="n">
        <x:v>2025</x:v>
      </x:c>
      <x:c r="B366" s="19" t="str">
        <x:v>2025年 二、填空第4题</x:v>
      </x:c>
      <x:c r="C366" s="19" t="str">
        <x:v>填空</x:v>
      </x:c>
      <x:c r="D366" s="20"/>
      <x:c r="E366" s="15" t="str">
        <x:v>板式 / 填料塔、液泛与负荷图</x:v>
      </x:c>
      <x:c r="F366" s="15" t="str">
        <x:v>|T1|</x:v>
      </x:c>
      <x:c r="G366" s="21" t="str">
        <x:v>造成板式塔中塔板严重漏液的原因可能是—和—</x:v>
      </x:c>
      <x:c r="H366" s="15" t="str">
        <x:v>B</x:v>
      </x:c>
      <x:c r="I366" s="15" t="str">
        <x:v>83</x:v>
      </x:c>
      <x:c r="J366" s="15" t="str">
        <x:v>汇编题卷（未核实官方原卷）</x:v>
      </x:c>
      <x:c r="K366" s="22" t="str">
        <x:v>扫描题干摘录，公式与数值做题前核对原PDF。</x:v>
      </x:c>
    </x:row>
    <x:row r="367" ht="66" customHeight="1">
      <x:c r="A367" s="18" t="n">
        <x:v>2025</x:v>
      </x:c>
      <x:c r="B367" s="19" t="str">
        <x:v>2025年 二、填空第5题</x:v>
      </x:c>
      <x:c r="C367" s="19" t="str">
        <x:v>填空</x:v>
      </x:c>
      <x:c r="D367" s="20"/>
      <x:c r="E367" s="15" t="str">
        <x:v>回流比、极限条件与操作分析</x:v>
      </x:c>
      <x:c r="F367" s="15" t="str">
        <x:v>|D4|D2|</x:v>
      </x:c>
      <x:c r="G367" s="21" t="str">
        <x:v>操作中的精馏塔，F、q、R一定，进料组成xF降低时，判断塔顶产品组成xD与塔釜产品组成xW的变化。</x:v>
      </x:c>
      <x:c r="H367" s="15" t="str">
        <x:v>B</x:v>
      </x:c>
      <x:c r="I367" s="15" t="str">
        <x:v>83</x:v>
      </x:c>
      <x:c r="J367" s="15" t="str">
        <x:v>汇编题卷（未核实官方原卷）</x:v>
      </x:c>
      <x:c r="K367" s="22" t="str">
        <x:v>扫描题干摘录，公式与数值做题前核对原PDF。</x:v>
      </x:c>
    </x:row>
    <x:row r="368" ht="66" customHeight="1">
      <x:c r="A368" s="18" t="n">
        <x:v>2025</x:v>
      </x:c>
      <x:c r="B368" s="19" t="str">
        <x:v>2025年 二、填空第6题</x:v>
      </x:c>
      <x:c r="C368" s="19" t="str">
        <x:v>填空</x:v>
      </x:c>
      <x:c r="D368" s="20"/>
      <x:c r="E368" s="15" t="str">
        <x:v>逐板计算、理论板与板效率</x:v>
      </x:c>
      <x:c r="F368" s="15" t="str">
        <x:v>|D3|</x:v>
      </x:c>
      <x:c r="G368" s="21" t="str">
        <x:v>某精馏塔内装的填料具有10块理论板的分离能力，若塔釜采用再沸器，塔 顶部分采用冷凝器，则全塔的总理论板数是</x:v>
      </x:c>
      <x:c r="H368" s="15" t="str">
        <x:v>B</x:v>
      </x:c>
      <x:c r="I368" s="15" t="str">
        <x:v>83</x:v>
      </x:c>
      <x:c r="J368" s="15" t="str">
        <x:v>汇编题卷（未核实官方原卷）</x:v>
      </x:c>
      <x:c r="K368" s="22" t="str">
        <x:v>扫描题干摘录，公式与数值做题前核对原PDF。</x:v>
      </x:c>
    </x:row>
    <x:row r="369" ht="66" customHeight="1">
      <x:c r="A369" s="18" t="n">
        <x:v>2025</x:v>
      </x:c>
      <x:c r="B369" s="19" t="str">
        <x:v>2025年 二、填空第7题</x:v>
      </x:c>
      <x:c r="C369" s="19" t="str">
        <x:v>填空</x:v>
      </x:c>
      <x:c r="D369" s="20"/>
      <x:c r="E369" s="15" t="str">
        <x:v>传质单元、填料高度与理论级</x:v>
      </x:c>
      <x:c r="F369" s="15" t="str">
        <x:v>|A4|A5|</x:v>
      </x:c>
      <x:c r="G369" s="21" t="str">
        <x:v>逆流填料吸收塔采用纯溶剂，其他条件不变而增加填料层高度，判断气相总传质单元高度HOG与溶质吸收率变化。</x:v>
      </x:c>
      <x:c r="H369" s="15" t="str">
        <x:v>B</x:v>
      </x:c>
      <x:c r="I369" s="15" t="str">
        <x:v>83</x:v>
      </x:c>
      <x:c r="J369" s="15" t="str">
        <x:v>汇编题卷（未核实官方原卷）</x:v>
      </x:c>
      <x:c r="K369" s="22" t="str">
        <x:v>扫描题干摘录，公式与数值做题前核对原PDF。</x:v>
      </x:c>
    </x:row>
    <x:row r="370" ht="66" customHeight="1">
      <x:c r="A370" s="18" t="n">
        <x:v>2025</x:v>
      </x:c>
      <x:c r="B370" s="19" t="str">
        <x:v>2025年 二、填空第8题</x:v>
      </x:c>
      <x:c r="C370" s="19" t="str">
        <x:v>填空</x:v>
      </x:c>
      <x:c r="D370" s="20"/>
      <x:c r="E370" s="15" t="str">
        <x:v>亨利定律、平衡与传质方向</x:v>
      </x:c>
      <x:c r="F370" s="15" t="str">
        <x:v>|A1|A5|</x:v>
      </x:c>
      <x:c r="G370" s="21" t="str">
        <x:v>用水回收尾气中的氨，降低吸收温度时判断氨的溶解度变化；增大操作压力时判断相平衡常数m变化。</x:v>
      </x:c>
      <x:c r="H370" s="15" t="str">
        <x:v>B</x:v>
      </x:c>
      <x:c r="I370" s="15" t="str">
        <x:v>83</x:v>
      </x:c>
      <x:c r="J370" s="15" t="str">
        <x:v>汇编题卷（未核实官方原卷）</x:v>
      </x:c>
      <x:c r="K370" s="22" t="str">
        <x:v>扫描题干摘录，公式与数值做题前核对原PDF。</x:v>
      </x:c>
    </x:row>
    <x:row r="371" ht="66" customHeight="1">
      <x:c r="A371" s="18" t="n">
        <x:v>2025</x:v>
      </x:c>
      <x:c r="B371" s="19" t="str">
        <x:v>2025年 三、简答第1题</x:v>
      </x:c>
      <x:c r="C371" s="19" t="str">
        <x:v>简答</x:v>
      </x:c>
      <x:c r="D371" s="20" t="n">
        <x:v>8</x:v>
      </x:c>
      <x:c r="E371" s="15" t="str">
        <x:v>简单、间歇与特殊蒸馏</x:v>
      </x:c>
      <x:c r="F371" s="15" t="str">
        <x:v>|D5|D2|</x:v>
      </x:c>
      <x:c r="G371" s="21" t="str">
        <x:v>分别阐述平衡蒸馏与简单蒸馏的主要区别，以及蒸馏与精馏的主要区别？</x:v>
      </x:c>
      <x:c r="H371" s="15" t="str">
        <x:v>B</x:v>
      </x:c>
      <x:c r="I371" s="15" t="str">
        <x:v>84</x:v>
      </x:c>
      <x:c r="J371" s="15" t="str">
        <x:v>汇编题卷（未核实官方原卷）</x:v>
      </x:c>
      <x:c r="K371" s="22" t="str">
        <x:v>扫描题干摘录，公式与数值做题前核对原PDF。</x:v>
      </x:c>
    </x:row>
    <x:row r="372" ht="66" customHeight="1">
      <x:c r="A372" s="18" t="n">
        <x:v>2025</x:v>
      </x:c>
      <x:c r="B372" s="19" t="str">
        <x:v>2025年 三、简答第2题</x:v>
      </x:c>
      <x:c r="C372" s="19" t="str">
        <x:v>简答</x:v>
      </x:c>
      <x:c r="D372" s="20" t="n">
        <x:v>8</x:v>
      </x:c>
      <x:c r="E372" s="15" t="str">
        <x:v>汽蚀、气缚、安装与开停</x:v>
      </x:c>
      <x:c r="F372" s="15" t="str">
        <x:v>|P2|</x:v>
      </x:c>
      <x:c r="G372" s="21" t="str">
        <x:v>化工厂采用离心泵输送液体，在操作过程中出现了汽蚀现象，说明解决汽蚀 现象可以采用的措施（至少写五条），并分析其原理。</x:v>
      </x:c>
      <x:c r="H372" s="15" t="str">
        <x:v>B</x:v>
      </x:c>
      <x:c r="I372" s="15" t="str">
        <x:v>84</x:v>
      </x:c>
      <x:c r="J372" s="15" t="str">
        <x:v>汇编题卷（未核实官方原卷）</x:v>
      </x:c>
      <x:c r="K372" s="22" t="str">
        <x:v>扫描题干摘录，公式与数值做题前核对原PDF。</x:v>
      </x:c>
    </x:row>
    <x:row r="373" ht="66" customHeight="1">
      <x:c r="A373" s="18" t="n">
        <x:v>2025</x:v>
      </x:c>
      <x:c r="B373" s="19" t="str">
        <x:v>2025年 三、简答第3题</x:v>
      </x:c>
      <x:c r="C373" s="19" t="str">
        <x:v>简答</x:v>
      </x:c>
      <x:c r="D373" s="20" t="n">
        <x:v>8</x:v>
      </x:c>
      <x:c r="E373" s="15" t="str">
        <x:v>选择性、分配系数与单级萃取</x:v>
      </x:c>
      <x:c r="F373" s="15" t="str">
        <x:v>|X1|</x:v>
      </x:c>
      <x:c r="G373" s="21" t="str">
        <x:v>简述萃取剂的选择性系数的定义，并指出当选择性系数小于1时，是否能进 行萃取过程？此外，在液-液萃取过程中，若增加萃取剂用量，说明所得萃取 液中溶质A的质量分率将如何变化？</x:v>
      </x:c>
      <x:c r="H373" s="15" t="str">
        <x:v>B</x:v>
      </x:c>
      <x:c r="I373" s="15" t="str">
        <x:v>84</x:v>
      </x:c>
      <x:c r="J373" s="15" t="str">
        <x:v>汇编题卷（未核实官方原卷）</x:v>
      </x:c>
      <x:c r="K373" s="22" t="str">
        <x:v>扫描题干摘录，公式与数值做题前核对原PDF。</x:v>
      </x:c>
    </x:row>
    <x:row r="374" ht="66" customHeight="1">
      <x:c r="A374" s="18" t="n">
        <x:v>2025</x:v>
      </x:c>
      <x:c r="B374" s="19" t="str">
        <x:v>2025年 四、计算</x:v>
      </x:c>
      <x:c r="C374" s="19" t="str">
        <x:v>计算</x:v>
      </x:c>
      <x:c r="D374" s="20" t="n">
        <x:v>20</x:v>
      </x:c>
      <x:c r="E374" s="15" t="str">
        <x:v>泵特性、工作点、调节与功率</x:v>
      </x:c>
      <x:c r="F374" s="15" t="str">
        <x:v>|P1|F2|F3|F1|</x:v>
      </x:c>
      <x:c r="G374" s="21" t="str">
        <x:v>如图，用离心泵将口水池中的水输送到口高位槽中，水池液面和高位槽液面 的垂直距离为30m，所有管路直径均为Φ108×4mm，泵的进、出口管路上分 阀门全开时，水池液面至入口真空表所在截面的管路长及所有的局部阻力当量长 度为10m，真空表所在截面至高位槽液面的管路长及所有的局部阻力当量长度 为150m。设流动状态已进入阻力平方区，摩擦系数入=0.03。管路中水的流速 为2m/s，水的密度为1000Kg/m 系统为稳态流动，两水池液面高度保持不 变，计算过程中小数点后保留1位数字，重力加速度g取10m/s²，试求： 1.泵入口真空表的读数（kpa)（7分） 2.离心泵的有效压头（m）（7分） 3.若将出口管路的阀门开度减小，分析真空表和压</x:v>
      </x:c>
      <x:c r="H374" s="15" t="str">
        <x:v>B</x:v>
      </x:c>
      <x:c r="I374" s="15" t="str">
        <x:v>84</x:v>
      </x:c>
      <x:c r="J374" s="15" t="str">
        <x:v>汇编题卷（未核实官方原卷）</x:v>
      </x:c>
      <x:c r="K374" s="22" t="str">
        <x:v>扫描题干摘录，公式与数值做题前核对原PDF。</x:v>
      </x:c>
    </x:row>
    <x:row r="375" ht="66" customHeight="1">
      <x:c r="A375" s="18" t="n">
        <x:v>2025</x:v>
      </x:c>
      <x:c r="B375" s="19" t="str">
        <x:v>2025年 五、计算</x:v>
      </x:c>
      <x:c r="C375" s="19" t="str">
        <x:v>计算</x:v>
      </x:c>
      <x:c r="D375" s="20" t="n">
        <x:v>12</x:v>
      </x:c>
      <x:c r="E375" s="15" t="str">
        <x:v>洗涤、板框 / 转筒与生产能力</x:v>
      </x:c>
      <x:c r="F375" s="15" t="str">
        <x:v>|S4|S3|</x:v>
      </x:c>
      <x:c r="G375" s="21" t="str">
        <x:v>用板框过滤机过滤某悬浮液，一个操作周期内过滤20分钟后，共得滤液8m”， 在一个操作周期内共用去辅助时间为20分钟，假设滤饼不可压缩，过滤介质阻 力忽略不计，试求： 1.改板框过滤机的生产能力为多少m²/h？（4分） 2.若操作压力增加到原来的4倍，其他条件不变（物性，过滤面积，过滤与辅助 时间不变），过滤20分钟后所得的滤液量为多少m²？（5分） 3.现改用回转真空过滤机，其转速为10转/h，若生产能力与（1）相同，则其 在一个周期内所得的滤液量为多少m²？（3分）</x:v>
      </x:c>
      <x:c r="H375" s="15" t="str">
        <x:v>B</x:v>
      </x:c>
      <x:c r="I375" s="15" t="str">
        <x:v>85</x:v>
      </x:c>
      <x:c r="J375" s="15" t="str">
        <x:v>汇编题卷（未核实官方原卷）</x:v>
      </x:c>
      <x:c r="K375" s="22" t="str">
        <x:v>扫描题干摘录，公式与数值做题前核对原PDF。</x:v>
      </x:c>
    </x:row>
    <x:row r="376" ht="66" customHeight="1">
      <x:c r="A376" s="18" t="n">
        <x:v>2025</x:v>
      </x:c>
      <x:c r="B376" s="19" t="str">
        <x:v>2025年 六、计算</x:v>
      </x:c>
      <x:c r="C376" s="19" t="str">
        <x:v>计算</x:v>
      </x:c>
      <x:c r="D376" s="20" t="n">
        <x:v>20</x:v>
      </x:c>
      <x:c r="E376" s="15" t="str">
        <x:v>传质单元、填料高度与理论级</x:v>
      </x:c>
      <x:c r="F376" s="15" t="str">
        <x:v>|A4|A3|A5|</x:v>
      </x:c>
      <x:c r="G376" s="21" t="str">
        <x:v>现有空气与有害组分A的混合气，其中A组分6.0%（臂尔比），拟用含A组分4.0×10^-4（摩尔比）的溶液 回收率为91%，入塔混合气流率为0.04KmolV（m²s）,操作液气比为最小液气 比的1.18倍，操作范围内相平衡关系符合亨利定理Ye=1.2x（Y、×分别为气相 和液相中A组分的摩尔比），所选用填料的总体积传质系数Kya=0.05Kmol/ （m²·s），计算中可用算数平均值代替对数平均值。试求： 1.出塔液体中A组分的摩尔比X，？(8分) 2.完成吸收任务所需的填料层高度。（8分） 3.如果该混合气经吸收后，出塔尾气浓度仍然达不到环保要求，问可以采取哪些 措施提高A组分的回收率？（至少列出2种措施）（4分）</x:v>
      </x:c>
      <x:c r="H376" s="15" t="str">
        <x:v>B</x:v>
      </x:c>
      <x:c r="I376" s="15" t="str">
        <x:v>85</x:v>
      </x:c>
      <x:c r="J376" s="15" t="str">
        <x:v>汇编题卷（未核实官方原卷）</x:v>
      </x:c>
      <x:c r="K376" s="22" t="str">
        <x:v>扫描题干摘录，公式与数值做题前核对原PDF。</x:v>
      </x:c>
    </x:row>
    <x:row r="377" ht="66" customHeight="1">
      <x:c r="A377" s="18" t="n">
        <x:v>2025</x:v>
      </x:c>
      <x:c r="B377" s="19" t="str">
        <x:v>2025年 七、计算</x:v>
      </x:c>
      <x:c r="C377" s="19" t="str">
        <x:v>计算</x:v>
      </x:c>
      <x:c r="D377" s="20" t="n">
        <x:v>20</x:v>
      </x:c>
      <x:c r="E377" s="15" t="str">
        <x:v>精馏衡算、操作线与进料热状态</x:v>
      </x:c>
      <x:c r="F377" s="15" t="str">
        <x:v>|D2|D4|D1|</x:v>
      </x:c>
      <x:c r="G377" s="21" t="str">
        <x:v>在常压连续精馏塔中分离某双组分理想混合物，原料液流量100Kmol/h，泡点 进料，塔顶设全凝器，饱和液相回流，塔釜采用间接蒸汽加热。精馏段操作线方 程为yn+1=0.75x+0.22，提馏段操作线方程为y’m+1=1.25x’m-0.03。试求： 1.回流比和塔顶产品中易挥发组分的摩尔分率（4分） 2.塔釜采出率和原料液中易挥发组分的摩尔分率（6分） 3.推导最小回流比的计算公式（结合y-×相图说明推导过程）（4分） （1） 若进料热状况、进料组成、回流比、塔釜采出率均不变，仅适当降低 操作压力，则体系相对挥发度、塔顶产品组成与塔顶温度如何变化？ 并分析原因。（6分）</x:v>
      </x:c>
      <x:c r="H377" s="15" t="str">
        <x:v>B</x:v>
      </x:c>
      <x:c r="I377" s="15" t="str">
        <x:v>85、86</x:v>
      </x:c>
      <x:c r="J377" s="15" t="str">
        <x:v>汇编题卷（未核实官方原卷）</x:v>
      </x:c>
      <x:c r="K377" s="22" t="str">
        <x:v>扫描题干摘录，公式与数值做题前核对原PDF。</x:v>
      </x:c>
    </x:row>
    <x:row r="378" ht="66" customHeight="1">
      <x:c r="A378" s="18" t="n">
        <x:v>2025</x:v>
      </x:c>
      <x:c r="B378" s="19" t="str">
        <x:v>2025年 八、计算</x:v>
      </x:c>
      <x:c r="C378" s="19" t="str">
        <x:v>计算</x:v>
      </x:c>
      <x:c r="D378" s="20" t="n">
        <x:v>20</x:v>
      </x:c>
      <x:c r="E378" s="15" t="str">
        <x:v>换热器设计、校核与操作计算</x:v>
      </x:c>
      <x:c r="F378" s="15" t="str">
        <x:v>|H4|H3|</x:v>
      </x:c>
      <x:c r="G378" s="21" t="str">
        <x:v>现有一单管程列管式换热器，换热面积为10m²，拟在该换热器中用饱和水蒸气 将苯从30°℃加热到 70°℃，苯的流量为5Kg/s，在管程流动，管内的对流传热系 数为700W/（m²°℃），温度为120°℃的饱和水蒸气在壳程冷凝，管外的对流传 热系数为 1×104 W/( m2:℃）,管内侧污垢热阻 R;=8×10-4m2.C/W ,管外侧污 垢热阻及热损失均忽略不计，管壁厚度可忽略不计，换热器传热温差可近似采用 算数平均值计算。试求： 1.换热器的实际总传热系数，并判断该换热器是否合用7(10 分） 2.若使用上述换热器，则实际操作时苯的出口温度为多少？（5分） 3.若改变饱和水蒸气温度，请问水蒸气温度为多少摄氏度时，苯的出口温度可以</x:v>
      </x:c>
      <x:c r="H378" s="15" t="str">
        <x:v>B</x:v>
      </x:c>
      <x:c r="I378" s="15" t="str">
        <x:v>86</x:v>
      </x:c>
      <x:c r="J378" s="15" t="str">
        <x:v>汇编题卷（未核实官方原卷）</x:v>
      </x:c>
      <x:c r="K378" s="22" t="str">
        <x:v>扫描题干摘录，公式与数值做题前核对原PDF。</x:v>
      </x:c>
    </x:row>
  </x:sheetData>
  <x:pageMargins left="0.7" right="0.7" top="0.75" bottom="0.75" header="0.3" footer="0.3"/>
  <x:tableParts count="1">
    <x:tablePart xmlns:r="http://schemas.openxmlformats.org/officeDocument/2006/relationships" r:id="R5bae4874f5ce4777"/>
  </x:tableParts>
</x:worksheet>
</file>

<file path=xl/worksheets/sheet4.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9.380000114440918" hidden="0" customWidth="1"/>
    <x:col min="2" max="2" width="30" hidden="0" customWidth="1"/>
    <x:col min="3" max="3" width="10" hidden="0" customWidth="1"/>
    <x:col min="4" max="4" width="8.130000114440918" hidden="0" customWidth="1"/>
    <x:col min="5" max="5" width="27.5" hidden="0" customWidth="1"/>
    <x:col min="6" max="6" width="10.630000114440918" hidden="0" customWidth="1"/>
    <x:col min="7" max="7" width="70" hidden="0" customWidth="1"/>
  </x:cols>
  <x:sheetData>
    <x:row r="1" ht="23" customHeight="1">
      <x:c r="A1" s="2"/>
      <x:c r="B1" s="2"/>
      <x:c r="C1" s="2"/>
      <x:c r="D1" s="2"/>
      <x:c r="E1" s="2"/>
      <x:c r="F1" s="2"/>
      <x:c r="G1" s="2"/>
    </x:row>
    <x:row r="2" ht="28" customHeight="1">
      <x:c r="A2" s="3" t="str">
        <x:v>资料范围与统计口径</x:v>
      </x:c>
      <x:c r="B2" s="2"/>
      <x:c r="C2" s="2"/>
      <x:c r="D2" s="2"/>
      <x:c r="E2" s="2"/>
      <x:c r="F2" s="2"/>
      <x:c r="G2" s="2"/>
    </x:row>
    <x:row r="3" ht="23" customHeight="1">
      <x:c r="A3" s="37" t="str">
        <x:v>官方2027招生大纲发布于2026-09-28，830大纲无变化；覆盖第1—6、8—12章。</x:v>
      </x:c>
      <x:c r="B3" s="2"/>
      <x:c r="C3" s="2"/>
      <x:c r="D3" s="2"/>
      <x:c r="E3" s="2"/>
      <x:c r="F3" s="2"/>
      <x:c r="G3" s="2"/>
    </x:row>
    <x:row r="4" ht="23" customHeight="1">
      <x:c r="A4" s="37" t="str">
        <x:v>辐射、干燥与湿空气、压缩机等未列于现行大纲，历史记录保留并降低复习优先级。</x:v>
      </x:c>
      <x:c r="B4" s="2"/>
      <x:c r="C4" s="2"/>
      <x:c r="D4" s="2"/>
      <x:c r="E4" s="2"/>
      <x:c r="F4" s="2"/>
      <x:c r="G4" s="2"/>
    </x:row>
    <x:row r="5" ht="23" customHeight="1">
      <x:c r="A5" s="37" t="str">
        <x:v>仍缺2026年入学考试真题（通常指2025年12月那场）；“2026最新版”汇编实际止于2025年题。</x:v>
      </x:c>
      <x:c r="B5" s="2"/>
      <x:c r="C5" s="2"/>
      <x:c r="D5" s="2"/>
      <x:c r="E5" s="2"/>
      <x:c r="F5" s="2"/>
      <x:c r="G5" s="2"/>
    </x:row>
    <x:row r="6" ht="23" customHeight="1">
      <x:c r="A6" s="2" t="str">
        <x:v>统计按题卷标注年份；重复版本同年只计一次。未知分值留空，2021/2025分值异常不补齐。</x:v>
      </x:c>
      <x:c r="B6" s="2"/>
      <x:c r="C6" s="2"/>
      <x:c r="D6" s="2"/>
      <x:c r="E6" s="2"/>
      <x:c r="F6" s="2"/>
      <x:c r="G6" s="2"/>
    </x:row>
    <x:row r="7" ht="23" customHeight="1">
      <x:c r="A7" s="2"/>
      <x:c r="B7" s="2"/>
      <x:c r="C7" s="2"/>
      <x:c r="D7" s="2"/>
      <x:c r="E7" s="2"/>
      <x:c r="F7" s="2"/>
      <x:c r="G7" s="2"/>
    </x:row>
    <x:row r="8" ht="32" customHeight="1">
      <x:c r="A8" s="12" t="str">
        <x:v>年份</x:v>
      </x:c>
      <x:c r="B8" s="13" t="str">
        <x:v>资料性质</x:v>
      </x:c>
      <x:c r="C8" s="13" t="str">
        <x:v>主统计</x:v>
      </x:c>
      <x:c r="D8" s="13" t="str">
        <x:v>题数</x:v>
      </x:c>
      <x:c r="E8" s="13" t="str">
        <x:v>PDF页码</x:v>
      </x:c>
      <x:c r="F8" s="13" t="str">
        <x:v>来源编号</x:v>
      </x:c>
      <x:c r="G8" s="14" t="str">
        <x:v>资料问题</x:v>
      </x:c>
    </x:row>
    <x:row r="9" ht="42" customHeight="1">
      <x:c r="A9" s="2" t="n">
        <x:v>1999</x:v>
      </x:c>
      <x:c r="B9" s="15" t="str">
        <x:v>汇编题卷（未独立核实）</x:v>
      </x:c>
      <x:c r="C9" s="15" t="str">
        <x:v>纳入</x:v>
      </x:c>
      <x:c r="D9" s="15" t="n">
        <x:v>14</x:v>
      </x:c>
      <x:c r="E9" s="15" t="str">
        <x:v>1、2、3、4</x:v>
      </x:c>
      <x:c r="F9" s="15" t="str">
        <x:v>A</x:v>
      </x:c>
      <x:c r="G9" s="15" t="str"/>
    </x:row>
    <x:row r="10" ht="42" customHeight="1">
      <x:c r="A10" s="2" t="n">
        <x:v>2000</x:v>
      </x:c>
      <x:c r="B10" s="15" t="str">
        <x:v>汇编题卷（未独立核实）</x:v>
      </x:c>
      <x:c r="C10" s="15" t="str">
        <x:v>纳入</x:v>
      </x:c>
      <x:c r="D10" s="15" t="n">
        <x:v>19</x:v>
      </x:c>
      <x:c r="E10" s="15" t="str">
        <x:v>5、6、7、8</x:v>
      </x:c>
      <x:c r="F10" s="15" t="str">
        <x:v>A</x:v>
      </x:c>
      <x:c r="G10" s="15" t="str"/>
    </x:row>
    <x:row r="11" ht="42" customHeight="1">
      <x:c r="A11" s="2" t="n">
        <x:v>2001</x:v>
      </x:c>
      <x:c r="B11" s="15" t="str">
        <x:v>汇编题卷（未独立核实）</x:v>
      </x:c>
      <x:c r="C11" s="15" t="str">
        <x:v>纳入</x:v>
      </x:c>
      <x:c r="D11" s="15" t="n">
        <x:v>15</x:v>
      </x:c>
      <x:c r="E11" s="15" t="str">
        <x:v>9、10、11、12</x:v>
      </x:c>
      <x:c r="F11" s="15" t="str">
        <x:v>A</x:v>
      </x:c>
      <x:c r="G11" s="15" t="str"/>
    </x:row>
    <x:row r="12" ht="42" customHeight="1">
      <x:c r="A12" s="2" t="n">
        <x:v>2002</x:v>
      </x:c>
      <x:c r="B12" s="15" t="str">
        <x:v>汇编题卷（未独立核实）</x:v>
      </x:c>
      <x:c r="C12" s="15" t="str">
        <x:v>纳入</x:v>
      </x:c>
      <x:c r="D12" s="15" t="n">
        <x:v>19</x:v>
      </x:c>
      <x:c r="E12" s="15" t="str">
        <x:v>13、14、15、16、17</x:v>
      </x:c>
      <x:c r="F12" s="15" t="str">
        <x:v>A</x:v>
      </x:c>
      <x:c r="G12" s="15" t="str"/>
    </x:row>
    <x:row r="13" ht="42" customHeight="1">
      <x:c r="A13" s="2" t="n">
        <x:v>2003</x:v>
      </x:c>
      <x:c r="B13" s="15" t="str">
        <x:v>汇编题卷（未独立核实）</x:v>
      </x:c>
      <x:c r="C13" s="15" t="str">
        <x:v>纳入</x:v>
      </x:c>
      <x:c r="D13" s="15" t="n">
        <x:v>20</x:v>
      </x:c>
      <x:c r="E13" s="15" t="str">
        <x:v>18、19、20、21、22</x:v>
      </x:c>
      <x:c r="F13" s="15" t="str">
        <x:v>A</x:v>
      </x:c>
      <x:c r="G13" s="15" t="str"/>
    </x:row>
    <x:row r="14" ht="42" customHeight="1">
      <x:c r="A14" s="2" t="n">
        <x:v>2004</x:v>
      </x:c>
      <x:c r="B14" s="15" t="str">
        <x:v>汇编题卷（未独立核实）</x:v>
      </x:c>
      <x:c r="C14" s="15" t="str">
        <x:v>纳入</x:v>
      </x:c>
      <x:c r="D14" s="15" t="n">
        <x:v>21</x:v>
      </x:c>
      <x:c r="E14" s="15" t="str">
        <x:v>23、24、25、26</x:v>
      </x:c>
      <x:c r="F14" s="15" t="str">
        <x:v>A</x:v>
      </x:c>
      <x:c r="G14" s="15" t="str"/>
    </x:row>
    <x:row r="15" ht="42" customHeight="1">
      <x:c r="A15" s="2" t="n">
        <x:v>2005</x:v>
      </x:c>
      <x:c r="B15" s="15" t="str">
        <x:v>汇编题卷（未独立核实）</x:v>
      </x:c>
      <x:c r="C15" s="15" t="str">
        <x:v>纳入</x:v>
      </x:c>
      <x:c r="D15" s="15" t="n">
        <x:v>22</x:v>
      </x:c>
      <x:c r="E15" s="15" t="str">
        <x:v>27、28、29、30、31</x:v>
      </x:c>
      <x:c r="F15" s="15" t="str">
        <x:v>A</x:v>
      </x:c>
      <x:c r="G15" s="15" t="str"/>
    </x:row>
    <x:row r="16" ht="42" customHeight="1">
      <x:c r="A16" s="2" t="n">
        <x:v>2006</x:v>
      </x:c>
      <x:c r="B16" s="15" t="str">
        <x:v>汇编题卷（未独立核实）</x:v>
      </x:c>
      <x:c r="C16" s="15" t="str">
        <x:v>纳入</x:v>
      </x:c>
      <x:c r="D16" s="15" t="n">
        <x:v>23</x:v>
      </x:c>
      <x:c r="E16" s="15" t="str">
        <x:v>32、33、34、35、36、37</x:v>
      </x:c>
      <x:c r="F16" s="15" t="str">
        <x:v>A</x:v>
      </x:c>
      <x:c r="G16" s="15" t="str"/>
    </x:row>
    <x:row r="17" ht="42" customHeight="1">
      <x:c r="A17" s="2" t="n">
        <x:v>2007</x:v>
      </x:c>
      <x:c r="B17" s="15" t="str">
        <x:v>汇编题卷（未独立核实）</x:v>
      </x:c>
      <x:c r="C17" s="15" t="str">
        <x:v>纳入</x:v>
      </x:c>
      <x:c r="D17" s="15" t="n">
        <x:v>23</x:v>
      </x:c>
      <x:c r="E17" s="15" t="str">
        <x:v>38、39、40、41、42、43</x:v>
      </x:c>
      <x:c r="F17" s="15" t="str">
        <x:v>A</x:v>
      </x:c>
      <x:c r="G17" s="15" t="str"/>
    </x:row>
    <x:row r="18" ht="42" customHeight="1">
      <x:c r="A18" s="2" t="n">
        <x:v>2008</x:v>
      </x:c>
      <x:c r="B18" s="15" t="str">
        <x:v>汇编题卷（未独立核实）</x:v>
      </x:c>
      <x:c r="C18" s="15" t="str">
        <x:v>纳入</x:v>
      </x:c>
      <x:c r="D18" s="15" t="n">
        <x:v>26</x:v>
      </x:c>
      <x:c r="E18" s="15" t="str">
        <x:v>7、8、9、10</x:v>
      </x:c>
      <x:c r="F18" s="15" t="str">
        <x:v>B</x:v>
      </x:c>
      <x:c r="G18" s="15" t="str"/>
    </x:row>
    <x:row r="19" ht="42" customHeight="1">
      <x:c r="A19" s="2" t="n">
        <x:v>2009</x:v>
      </x:c>
      <x:c r="B19" s="15" t="str">
        <x:v>汇编题卷（未独立核实）</x:v>
      </x:c>
      <x:c r="C19" s="15" t="str">
        <x:v>纳入</x:v>
      </x:c>
      <x:c r="D19" s="15" t="n">
        <x:v>23</x:v>
      </x:c>
      <x:c r="E19" s="15" t="str">
        <x:v>11、12、13、14</x:v>
      </x:c>
      <x:c r="F19" s="15" t="str">
        <x:v>B</x:v>
      </x:c>
      <x:c r="G19" s="15" t="str"/>
    </x:row>
    <x:row r="20" ht="42" customHeight="1">
      <x:c r="A20" s="2" t="n">
        <x:v>2010</x:v>
      </x:c>
      <x:c r="B20" s="15" t="str">
        <x:v>回忆版</x:v>
      </x:c>
      <x:c r="C20" s="15" t="str">
        <x:v>纳入</x:v>
      </x:c>
      <x:c r="D20" s="15" t="n">
        <x:v>28</x:v>
      </x:c>
      <x:c r="E20" s="15" t="str">
        <x:v>15、16、17、18、19</x:v>
      </x:c>
      <x:c r="F20" s="15" t="str">
        <x:v>B</x:v>
      </x:c>
      <x:c r="G20" s="15" t="str">
        <x:v>回忆版，原文件提示130分以上；不视为完整原卷。</x:v>
      </x:c>
    </x:row>
    <x:row r="21" ht="42" customHeight="1">
      <x:c r="A21" s="2" t="n">
        <x:v>2011</x:v>
      </x:c>
      <x:c r="B21" s="15" t="str">
        <x:v>考点回忆改编的类似模拟题</x:v>
      </x:c>
      <x:c r="C21" s="15" t="str">
        <x:v>不纳入</x:v>
      </x:c>
      <x:c r="D21" s="15"/>
      <x:c r="E21" s="15" t="str">
        <x:v>20、21、22、23</x:v>
      </x:c>
      <x:c r="F21" s="15" t="str">
        <x:v>B</x:v>
      </x:c>
      <x:c r="G21" s="15" t="str">
        <x:v>该十年封面均说明为类似模拟题；只作练习，不计考频。</x:v>
      </x:c>
    </x:row>
    <x:row r="22" ht="42" customHeight="1">
      <x:c r="A22" s="2" t="n">
        <x:v>2012</x:v>
      </x:c>
      <x:c r="B22" s="15" t="str">
        <x:v>考点回忆改编的类似模拟题</x:v>
      </x:c>
      <x:c r="C22" s="15" t="str">
        <x:v>不纳入</x:v>
      </x:c>
      <x:c r="D22" s="15"/>
      <x:c r="E22" s="15" t="str">
        <x:v>24、25、26、27</x:v>
      </x:c>
      <x:c r="F22" s="15" t="str">
        <x:v>B</x:v>
      </x:c>
      <x:c r="G22" s="15" t="str">
        <x:v>该十年封面均说明为类似模拟题；只作练习，不计考频。</x:v>
      </x:c>
    </x:row>
    <x:row r="23" ht="42" customHeight="1">
      <x:c r="A23" s="2" t="n">
        <x:v>2013</x:v>
      </x:c>
      <x:c r="B23" s="15" t="str">
        <x:v>考点回忆改编的类似模拟题</x:v>
      </x:c>
      <x:c r="C23" s="15" t="str">
        <x:v>不纳入</x:v>
      </x:c>
      <x:c r="D23" s="15"/>
      <x:c r="E23" s="15" t="str">
        <x:v>28、29、30、31、32</x:v>
      </x:c>
      <x:c r="F23" s="15" t="str">
        <x:v>B</x:v>
      </x:c>
      <x:c r="G23" s="15" t="str">
        <x:v>该十年封面均说明为类似模拟题；只作练习，不计考频。</x:v>
      </x:c>
    </x:row>
    <x:row r="24" ht="42" customHeight="1">
      <x:c r="A24" s="2" t="n">
        <x:v>2014</x:v>
      </x:c>
      <x:c r="B24" s="15" t="str">
        <x:v>考点回忆改编的类似模拟题</x:v>
      </x:c>
      <x:c r="C24" s="15" t="str">
        <x:v>不纳入</x:v>
      </x:c>
      <x:c r="D24" s="15"/>
      <x:c r="E24" s="15" t="str">
        <x:v>33、34、35、36</x:v>
      </x:c>
      <x:c r="F24" s="15" t="str">
        <x:v>B</x:v>
      </x:c>
      <x:c r="G24" s="15" t="str">
        <x:v>该十年封面均说明为类似模拟题；只作练习，不计考频。</x:v>
      </x:c>
    </x:row>
    <x:row r="25" ht="42" customHeight="1">
      <x:c r="A25" s="2" t="n">
        <x:v>2015</x:v>
      </x:c>
      <x:c r="B25" s="15" t="str">
        <x:v>考点回忆改编的类似模拟题</x:v>
      </x:c>
      <x:c r="C25" s="15" t="str">
        <x:v>不纳入</x:v>
      </x:c>
      <x:c r="D25" s="15"/>
      <x:c r="E25" s="15" t="str">
        <x:v>37、38、39、40</x:v>
      </x:c>
      <x:c r="F25" s="15" t="str">
        <x:v>B</x:v>
      </x:c>
      <x:c r="G25" s="15" t="str">
        <x:v>该十年封面均说明为类似模拟题；只作练习，不计考频。</x:v>
      </x:c>
    </x:row>
    <x:row r="26" ht="42" customHeight="1">
      <x:c r="A26" s="2" t="n">
        <x:v>2016</x:v>
      </x:c>
      <x:c r="B26" s="15" t="str">
        <x:v>考点回忆改编的类似模拟题</x:v>
      </x:c>
      <x:c r="C26" s="15" t="str">
        <x:v>不纳入</x:v>
      </x:c>
      <x:c r="D26" s="15"/>
      <x:c r="E26" s="15" t="str">
        <x:v>41、42、43、44、45</x:v>
      </x:c>
      <x:c r="F26" s="15" t="str">
        <x:v>B</x:v>
      </x:c>
      <x:c r="G26" s="15" t="str">
        <x:v>该十年封面均说明为类似模拟题；只作练习，不计考频。</x:v>
      </x:c>
    </x:row>
    <x:row r="27" ht="42" customHeight="1">
      <x:c r="A27" s="2" t="n">
        <x:v>2017</x:v>
      </x:c>
      <x:c r="B27" s="15" t="str">
        <x:v>考点回忆改编的类似模拟题</x:v>
      </x:c>
      <x:c r="C27" s="15" t="str">
        <x:v>不纳入</x:v>
      </x:c>
      <x:c r="D27" s="15"/>
      <x:c r="E27" s="15" t="str">
        <x:v>46、47、48、49</x:v>
      </x:c>
      <x:c r="F27" s="15" t="str">
        <x:v>B</x:v>
      </x:c>
      <x:c r="G27" s="15" t="str">
        <x:v>该十年封面均说明为类似模拟题；只作练习，不计考频。</x:v>
      </x:c>
    </x:row>
    <x:row r="28" ht="42" customHeight="1">
      <x:c r="A28" s="2" t="n">
        <x:v>2018</x:v>
      </x:c>
      <x:c r="B28" s="15" t="str">
        <x:v>考点回忆改编的类似模拟题</x:v>
      </x:c>
      <x:c r="C28" s="15" t="str">
        <x:v>不纳入</x:v>
      </x:c>
      <x:c r="D28" s="15"/>
      <x:c r="E28" s="15" t="str">
        <x:v>50、51、52、53、54</x:v>
      </x:c>
      <x:c r="F28" s="15" t="str">
        <x:v>B</x:v>
      </x:c>
      <x:c r="G28" s="15" t="str">
        <x:v>该十年封面均说明为类似模拟题；只作练习，不计考频。</x:v>
      </x:c>
    </x:row>
    <x:row r="29" ht="42" customHeight="1">
      <x:c r="A29" s="2" t="n">
        <x:v>2019</x:v>
      </x:c>
      <x:c r="B29" s="15" t="str">
        <x:v>考点回忆改编的类似模拟题</x:v>
      </x:c>
      <x:c r="C29" s="15" t="str">
        <x:v>不纳入</x:v>
      </x:c>
      <x:c r="D29" s="15"/>
      <x:c r="E29" s="15" t="str">
        <x:v>55、56、57、58、59</x:v>
      </x:c>
      <x:c r="F29" s="15" t="str">
        <x:v>B</x:v>
      </x:c>
      <x:c r="G29" s="15" t="str">
        <x:v>该十年封面均说明为类似模拟题；只作练习，不计考频。</x:v>
      </x:c>
    </x:row>
    <x:row r="30" ht="42" customHeight="1">
      <x:c r="A30" s="2" t="n">
        <x:v>2020</x:v>
      </x:c>
      <x:c r="B30" s="15" t="str">
        <x:v>考点回忆改编的类似模拟题</x:v>
      </x:c>
      <x:c r="C30" s="15" t="str">
        <x:v>不纳入</x:v>
      </x:c>
      <x:c r="D30" s="15"/>
      <x:c r="E30" s="15" t="str">
        <x:v>60、61、62、63、64</x:v>
      </x:c>
      <x:c r="F30" s="15" t="str">
        <x:v>B</x:v>
      </x:c>
      <x:c r="G30" s="15" t="str">
        <x:v>该十年封面均说明为类似模拟题；只作练习，不计考频。</x:v>
      </x:c>
    </x:row>
    <x:row r="31" ht="42" customHeight="1">
      <x:c r="A31" s="2" t="n">
        <x:v>2021</x:v>
      </x:c>
      <x:c r="B31" s="15" t="str">
        <x:v>回忆版</x:v>
      </x:c>
      <x:c r="C31" s="15" t="str">
        <x:v>纳入</x:v>
      </x:c>
      <x:c r="D31" s="15" t="n">
        <x:v>20</x:v>
      </x:c>
      <x:c r="E31" s="15" t="str">
        <x:v>65、66、67、68</x:v>
      </x:c>
      <x:c r="F31" s="15" t="str">
        <x:v>B</x:v>
      </x:c>
      <x:c r="G31" s="15" t="str">
        <x:v>资料标注40+20+100=160分，合计异常；题目频次可用，分值占比不统计。</x:v>
      </x:c>
    </x:row>
    <x:row r="32" ht="42" customHeight="1">
      <x:c r="A32" s="2" t="n">
        <x:v>2022</x:v>
      </x:c>
      <x:c r="B32" s="15" t="str">
        <x:v>汇编题卷（未独立核实）</x:v>
      </x:c>
      <x:c r="C32" s="15" t="str">
        <x:v>纳入</x:v>
      </x:c>
      <x:c r="D32" s="15" t="n">
        <x:v>27</x:v>
      </x:c>
      <x:c r="E32" s="15" t="str">
        <x:v>10、11、12、13</x:v>
      </x:c>
      <x:c r="F32" s="15" t="str">
        <x:v>C</x:v>
      </x:c>
      <x:c r="G32" s="15" t="str">
        <x:v>与另一汇编有部分数值差异；考点一致。同年只计一次。</x:v>
      </x:c>
    </x:row>
    <x:row r="33" ht="42" customHeight="1">
      <x:c r="A33" s="2" t="n">
        <x:v>2023</x:v>
      </x:c>
      <x:c r="B33" s="15" t="str">
        <x:v>汇编题卷（未独立核实）</x:v>
      </x:c>
      <x:c r="C33" s="15" t="str">
        <x:v>纳入</x:v>
      </x:c>
      <x:c r="D33" s="15" t="n">
        <x:v>29</x:v>
      </x:c>
      <x:c r="E33" s="15" t="str">
        <x:v>74、75、76、77</x:v>
      </x:c>
      <x:c r="F33" s="15" t="str">
        <x:v>B</x:v>
      </x:c>
      <x:c r="G33" s="15" t="str">
        <x:v>简答50分，计算60分；四道计算未列各题分值，保持空白。</x:v>
      </x:c>
    </x:row>
    <x:row r="34" ht="42" customHeight="1">
      <x:c r="A34" s="2" t="n">
        <x:v>2024</x:v>
      </x:c>
      <x:c r="B34" s="15" t="str">
        <x:v>汇编题卷（未独立核实）</x:v>
      </x:c>
      <x:c r="C34" s="15" t="str">
        <x:v>纳入</x:v>
      </x:c>
      <x:c r="D34" s="15" t="n">
        <x:v>24</x:v>
      </x:c>
      <x:c r="E34" s="15" t="str">
        <x:v>78、79、80、81</x:v>
      </x:c>
      <x:c r="F34" s="15" t="str">
        <x:v>B</x:v>
      </x:c>
      <x:c r="G34" s="15" t="str">
        <x:v>未标分值，个别题干残缺；选择第3题未定知识点。</x:v>
      </x:c>
    </x:row>
    <x:row r="35" ht="42" customHeight="1">
      <x:c r="A35" s="2" t="n">
        <x:v>2025</x:v>
      </x:c>
      <x:c r="B35" s="15" t="str">
        <x:v>汇编题卷（未独立核实）</x:v>
      </x:c>
      <x:c r="C35" s="15" t="str">
        <x:v>纳入</x:v>
      </x:c>
      <x:c r="D35" s="15" t="n">
        <x:v>20</x:v>
      </x:c>
      <x:c r="E35" s="15" t="str">
        <x:v>82、83、84、85、86</x:v>
      </x:c>
      <x:c r="F35" s="15" t="str">
        <x:v>B</x:v>
      </x:c>
      <x:c r="G35" s="15" t="str">
        <x:v>可见分值合计140分；存在10分缺口，不补齐或归一化。</x:v>
      </x:c>
    </x:row>
    <x:row r="36" ht="23" customHeight="1">
      <x:c r="A36" s="2"/>
      <x:c r="B36" s="2"/>
      <x:c r="C36" s="2"/>
      <x:c r="D36" s="2"/>
      <x:c r="E36" s="2"/>
      <x:c r="F36" s="2"/>
      <x:c r="G36" s="2"/>
    </x:row>
    <x:row r="37" ht="32" customHeight="1">
      <x:c r="A37" s="12" t="str">
        <x:v>来源编号</x:v>
      </x:c>
      <x:c r="B37" s="13" t="str">
        <x:v>文件或说明</x:v>
      </x:c>
      <x:c r="C37" s="13"/>
      <x:c r="D37" s="13"/>
      <x:c r="E37" s="13"/>
      <x:c r="F37" s="13"/>
      <x:c r="G37" s="14"/>
    </x:row>
    <x:row r="38" ht="23" customHeight="1">
      <x:c r="A38" s="2" t="str">
        <x:v>A</x:v>
      </x:c>
      <x:c r="B38" s="36" t="str">
        <x:v>99-19年真题.pdf</x:v>
      </x:c>
      <x:c r="C38" s="2"/>
      <x:c r="D38" s="2"/>
      <x:c r="E38" s="2"/>
      <x:c r="F38" s="2"/>
      <x:c r="G38" s="2"/>
    </x:row>
    <x:row r="39" ht="23" customHeight="1">
      <x:c r="A39" s="2" t="str">
        <x:v>B</x:v>
      </x:c>
      <x:c r="B39" s="36" t="str">
        <x:v>历年真题-考研-中石油北京-830化学工程与技术专业-专业课《化工原理》.pdf</x:v>
      </x:c>
      <x:c r="C39" s="2"/>
      <x:c r="D39" s="2"/>
      <x:c r="E39" s="2"/>
      <x:c r="F39" s="2"/>
      <x:c r="G39" s="2"/>
    </x:row>
    <x:row r="40" ht="23" customHeight="1">
      <x:c r="A40" s="2" t="str">
        <x:v>C</x:v>
      </x:c>
      <x:c r="B40" s="36" t="str">
        <x:v>20-24年真题.pdf</x:v>
      </x:c>
      <x:c r="C40" s="2"/>
      <x:c r="D40" s="2"/>
      <x:c r="E40" s="2"/>
      <x:c r="F40" s="2"/>
      <x:c r="G40" s="2"/>
    </x:row>
    <x:row r="41" ht="23" customHeight="1">
      <x:c r="A41" s="2" t="str">
        <x:v>D</x:v>
      </x:c>
      <x:c r="B41" s="36" t="str">
        <x:v>化工原理考试大纲.docx（与最新官方大纲逐项核对）</x:v>
      </x:c>
      <x:c r="C41" s="2"/>
      <x:c r="D41" s="2"/>
      <x:c r="E41" s="2"/>
      <x:c r="F41" s="2"/>
      <x:c r="G41" s="2"/>
    </x:row>
    <x:row r="42" ht="23" customHeight="1">
      <x:c r="A42" s="2" t="str">
        <x:v>E</x:v>
      </x:c>
      <x:c r="B42" s="36" t="str">
        <x:v>CUP化工原理考研重点整理.pdf：非官方经验笔记，不作为考频统计样本</x:v>
      </x:c>
      <x:c r="C42" s="2"/>
      <x:c r="D42" s="2"/>
      <x:c r="E42" s="2"/>
      <x:c r="F42" s="2"/>
      <x:c r="G42" s="2"/>
    </x:row>
    <x:row r="43" ht="23" customHeight="1">
      <x:c r="A43" s="2" t="str">
        <x:v>F</x:v>
      </x:c>
      <x:c r="B43" s="36" t="str">
        <x:v>化工原理1999—2008、2010共11套（2010年是回忆版130分+）46P.pdf：重复补充资料</x:v>
      </x:c>
      <x:c r="C43" s="2"/>
      <x:c r="D43" s="2"/>
      <x:c r="E43" s="2"/>
      <x:c r="F43" s="2"/>
      <x:c r="G43" s="2"/>
    </x:row>
    <x:row r="44" ht="23" customHeight="1">
      <x:c r="A44" s="2" t="str">
        <x:v>官方</x:v>
      </x:c>
      <x:c r="B44" s="36" t="str">
        <x:v>https://www.cup.edu.cn/chem/yjsjy/zsxx/5a902f3edc204a848af26709529a55af.htm</x:v>
      </x:c>
      <x:c r="C44" s="2"/>
      <x:c r="D44" s="2"/>
      <x:c r="E44" s="2"/>
      <x:c r="F44" s="2"/>
      <x:c r="G44" s="2"/>
    </x:row>
    <x:row r="45" ht="23" customHeight="1">
      <x:c r="A45" s="2" t="str">
        <x:v>方法参考</x:v>
      </x:c>
      <x:c r="B45" s="36" t="str">
        <x:v>https://github.com/GeniusTrader-Harry/past-paper-topic-analyzer</x:v>
      </x:c>
      <x:c r="C45" s="2"/>
      <x:c r="D45" s="2"/>
      <x:c r="E45" s="2"/>
      <x:c r="F45" s="2"/>
      <x:c r="G45" s="2"/>
    </x:row>
    <x:row r="46" ht="23" customHeight="1">
      <x:c r="A46" s="2"/>
      <x:c r="B46" s="2"/>
      <x:c r="C46" s="2"/>
      <x:c r="D46" s="2"/>
      <x:c r="E46" s="2"/>
      <x:c r="F46" s="2"/>
      <x:c r="G46" s="2"/>
    </x:row>
    <x:row r="47" ht="23" customHeight="1">
      <x:c r="A47" s="2" t="str">
        <x:v>年频：每个知识点在同一年出现多次仍只记1年。题频：统计关联该知识点的原编号题数。</x:v>
      </x:c>
      <x:c r="B47" s="2"/>
      <x:c r="C47" s="2"/>
      <x:c r="D47" s="2"/>
      <x:c r="E47" s="2"/>
      <x:c r="F47" s="2"/>
      <x:c r="G47" s="2"/>
    </x:row>
    <x:row r="48" ht="23" customHeight="1">
      <x:c r="A48" s="2" t="str">
        <x:v>多知识点题会计入多个考点，因此覆盖题数不能相加当作总题数；未推测下一年概率。</x:v>
      </x:c>
      <x:c r="B48" s="2"/>
      <x:c r="C48" s="2"/>
      <x:c r="D48" s="2"/>
      <x:c r="E48" s="2"/>
      <x:c r="F48" s="2"/>
      <x:c r="G48" s="2"/>
    </x:row>
    <x:row r="49" ht="23" customHeight="1">
      <x:c r="A49" s="2" t="str">
        <x:v>复习层次规则：近五年计算出现≥4年为A；其余大纲内考点近五年出现≥2年为B；其余为C。</x:v>
      </x:c>
      <x:c r="B49" s="2"/>
      <x:c r="C49" s="2"/>
      <x:c r="D49" s="2"/>
      <x:c r="E49" s="2"/>
      <x:c r="F49" s="2"/>
      <x:c r="G49" s="2"/>
    </x:row>
    <x:row r="50" ht="23" customHeight="1">
      <x:c r="A50" s="2" t="str">
        <x:v>B中优先准备汽蚀、双膜理论、亨利定律及塔设备简答。具体学习动作见配套解读。</x:v>
      </x:c>
      <x:c r="B50" s="2"/>
      <x:c r="C50" s="2"/>
      <x:c r="D50" s="2"/>
      <x:c r="E50" s="2"/>
      <x:c r="F50" s="2"/>
      <x:c r="G50" s="2"/>
    </x:row>
    <x:row r="51" ht="23" customHeight="1">
      <x:c r="A51" s="2" t="str">
        <x:v>373道已定位题中，2024选择第3题题干残缺，未计知识点；其余372题均已人工复核分类。</x:v>
      </x:c>
      <x:c r="B51" s="2"/>
      <x:c r="C51" s="2"/>
      <x:c r="D51" s="2"/>
      <x:c r="E51" s="2"/>
      <x:c r="F51" s="2"/>
      <x:c r="G51" s="2"/>
    </x:row>
    <x:row r="52" ht="23" customHeight="1">
      <x:c r="A52" s="2" t="str">
        <x:v>全期17年是现有纳入资料的年数，含回忆版；不是27年完整官方真题。统计截至2026-10-07。</x:v>
      </x:c>
      <x:c r="B52" s="2"/>
      <x:c r="C52" s="2"/>
      <x:c r="D52" s="2"/>
      <x:c r="E52" s="2"/>
      <x:c r="F52" s="2"/>
      <x:c r="G52" s="2"/>
    </x:row>
    <x:row r="53" ht="23" customHeight="1">
      <x:c r="A53" s="2" t="str">
        <x:v>扫描摘录用于定位知识点，不代替原卷。图、公式、上下标及水印遮挡内容做题前回看PDF。</x:v>
      </x:c>
      <x:c r="B53" s="2"/>
      <x:c r="C53" s="2"/>
      <x:c r="D53" s="2"/>
      <x:c r="E53" s="2"/>
      <x:c r="F53" s="2"/>
      <x:c r="G53" s="2"/>
    </x:row>
    <x:row r="54" ht="23" customHeight="1">
      <x:c r="A54" s="2"/>
      <x:c r="B54" s="2"/>
      <x:c r="C54" s="2"/>
      <x:c r="D54" s="2"/>
      <x:c r="E54" s="2"/>
      <x:c r="F54" s="2"/>
      <x:c r="G54" s="2"/>
    </x:row>
    <x:row r="55" ht="23" customHeight="1">
      <x:c r="A55" s="2"/>
      <x:c r="B55" s="2"/>
      <x:c r="C55" s="2"/>
      <x:c r="D55" s="2"/>
      <x:c r="E55" s="2"/>
      <x:c r="F55" s="2"/>
      <x:c r="G55" s="2"/>
    </x:row>
    <x:row r="56" ht="23" customHeight="1">
      <x:c r="A56" s="2"/>
      <x:c r="B56" s="2"/>
      <x:c r="C56" s="2"/>
      <x:c r="D56" s="2"/>
      <x:c r="E56" s="2"/>
      <x:c r="F56" s="2"/>
      <x:c r="G56" s="2"/>
    </x:row>
    <x:row r="57" ht="23" customHeight="1">
      <x:c r="A57" s="2"/>
      <x:c r="B57" s="2"/>
      <x:c r="C57" s="2"/>
      <x:c r="D57" s="2"/>
      <x:c r="E57" s="2"/>
      <x:c r="F57" s="2"/>
      <x:c r="G57" s="2"/>
    </x:row>
  </x:sheetData>
  <x:pageMargins left="0.7" right="0.7" top="0.75" bottom="0.75" header="0.3" footer="0.3"/>
</x:worksheet>
</file>